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Read Me" sheetId="1" state="visible" r:id="rId3"/>
    <sheet name="2 Drivers" sheetId="2" state="visible" r:id="rId4"/>
    <sheet name="3 Unit Economics" sheetId="3" state="visible" r:id="rId5"/>
    <sheet name="4 LTV, CAC &amp; Payback" sheetId="4" state="visible" r:id="rId6"/>
    <sheet name="5 Event P&amp;L" sheetId="5" state="visible" r:id="rId7"/>
    <sheet name="6 Capacity &amp; Ceiling" sheetId="6" state="visible" r:id="rId8"/>
    <sheet name="7 Three-Year Build" sheetId="7" state="visible" r:id="rId9"/>
    <sheet name="8 Scenarios" sheetId="8" state="visible" r:id="rId10"/>
    <sheet name="9 Sensitivity" sheetId="9" state="visible" r:id="rId11"/>
    <sheet name="10 Investor Metrics" sheetId="10" state="visible" r:id="rId12"/>
    <sheet name="11 Risks &amp; Validation"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<sst xmlns="http://schemas.openxmlformats.org/spreadsheetml/2006/main" count="390" uniqueCount="335">
  <si>
    <t xml:space="preserve">Item</t>
  </si>
  <si>
    <t xml:space="preserve">Detail</t>
  </si>
  <si>
    <t xml:space="preserve">Purpose</t>
  </si>
  <si>
    <t xml:space="preserve">Internal and investor-facing. This is the basis for a full financial model, not the full model. It establishes unit economics, the capacity constraint, three-year shape and the sensitivities that matter. A complete model would add monthly cohorts, cash timing, working capital and a balance sheet.</t>
  </si>
  <si>
    <t xml:space="preserve">Currency and tax</t>
  </si>
  <si>
    <t xml:space="preserve">All figures CAD and exclusive of GST, HST and QST. Tax is collected and remitted, it is not revenue.</t>
  </si>
  <si>
    <t xml:space="preserve">Relationship to the pricing model</t>
  </si>
  <si>
    <t xml:space="preserve">Every price, unit cost and redemption assumption is carried forward unchanged from the approved membership pricing model. Nothing has been re-rounded. If a driver changes there, change it here.</t>
  </si>
  <si>
    <t xml:space="preserve">How to use it</t>
  </si>
  <si>
    <t xml:space="preserve">Tab 2 Drivers is the only place to edit. Every other tab is formula-driven off it. Blue cells are editable inputs, black cells are calculated. Change a driver and the whole model moves.</t>
  </si>
  <si>
    <t xml:space="preserve">The three findings</t>
  </si>
  <si>
    <t xml:space="preserve">1. Each city chapter has a hard membership ceiling of roughly 35 paying members at quarterly cadence. Growth comes from more cities and more evenings, not more members per city. 2. Membership is under 30 percent of revenue at every stage. Sponsorship is around half. Membership qualifies the room; sponsorship monetises it. 3. The dinner programme only clears its cost floor when sponsored or partner-hosted. That is an operating rule, not a preference.</t>
  </si>
  <si>
    <t xml:space="preserve">What is deliberately conservative</t>
  </si>
  <si>
    <t xml:space="preserve">Dinner sponsor attach starts at 60 percent, not 100. Summit revenue is a single blended assumption pending a seat-by-seat build. Founder compensation appears from year two. No revenue is booked for trust-safe services in phase three.</t>
  </si>
  <si>
    <t xml:space="preserve">What is deliberately aggressive</t>
  </si>
  <si>
    <t xml:space="preserve">Retention has no history behind it. Chief tier volumes assume a partner ladder that does not exist yet. Summit ticket and booth revenue in years two and three is the least evidenced line in the model.</t>
  </si>
  <si>
    <t xml:space="preserve">Not financial advice</t>
  </si>
  <si>
    <t xml:space="preserve">Assumption-based planning model. Validate pricing, tax treatment and any figure shown to a third party with a Canadian accountant before it is relied upon.</t>
  </si>
  <si>
    <t xml:space="preserve">Driver</t>
  </si>
  <si>
    <t xml:space="preserve">Value</t>
  </si>
  <si>
    <t xml:space="preserve">Note</t>
  </si>
  <si>
    <t xml:space="preserve">UNIT COSTS (carried from the approved pricing model)</t>
  </si>
  <si>
    <t xml:space="preserve">Dinner seat cost, restaurant format</t>
  </si>
  <si>
    <t xml:space="preserve">TO and VAN benchmark. 3 courses, venue minimum, service.</t>
  </si>
  <si>
    <t xml:space="preserve">Dinner seat cost, partner-hosted format</t>
  </si>
  <si>
    <t xml:space="preserve">Donated venue, catering only. The cheapest seat in the model.</t>
  </si>
  <si>
    <t xml:space="preserve">Share of dinners partner-hosted</t>
  </si>
  <si>
    <t xml:space="preserve">THE SINGLE BIGGEST COST LEVER. See tab 9 sensitivity.</t>
  </si>
  <si>
    <t xml:space="preserve">Blended dinner seat cost</t>
  </si>
  <si>
    <t xml:space="preserve">Calculated.</t>
  </si>
  <si>
    <t xml:space="preserve">Summit cost per attendee</t>
  </si>
  <si>
    <t xml:space="preserve">Venue, AV, catering, staffing at 150 to 450 attendees.</t>
  </si>
  <si>
    <t xml:space="preserve">Exhibitor booth servicing cost</t>
  </si>
  <si>
    <t xml:space="preserve">Floor space, table, power, listing.</t>
  </si>
  <si>
    <t xml:space="preserve">Welcome kit, standard</t>
  </si>
  <si>
    <t xml:space="preserve">Resident and Attending.</t>
  </si>
  <si>
    <t xml:space="preserve">Welcome kit, Chief</t>
  </si>
  <si>
    <t xml:space="preserve">Full kit plus printed materials.</t>
  </si>
  <si>
    <t xml:space="preserve">Platform and ops per member per year</t>
  </si>
  <si>
    <t xml:space="preserve">Supabase, Vercel, Resend. Applied to guests as well as paying members.</t>
  </si>
  <si>
    <t xml:space="preserve">Cohort session cost</t>
  </si>
  <si>
    <t xml:space="preserve">Editing and hosting. Fixed, not per member.</t>
  </si>
  <si>
    <t xml:space="preserve">Cohort sessions per year</t>
  </si>
  <si>
    <t xml:space="preserve">PUBLIC RATES</t>
  </si>
  <si>
    <t xml:space="preserve">Public dinner ticket</t>
  </si>
  <si>
    <t xml:space="preserve">Set below true cost on purpose. Sponsors close the gap.</t>
  </si>
  <si>
    <t xml:space="preserve">Public summit day pass</t>
  </si>
  <si>
    <t xml:space="preserve">Public exhibitor booth</t>
  </si>
  <si>
    <t xml:space="preserve">TIER PRICES</t>
  </si>
  <si>
    <t xml:space="preserve">Resident, annual</t>
  </si>
  <si>
    <t xml:space="preserve">Decoy. Priced at roughly four dinner tickets.</t>
  </si>
  <si>
    <t xml:space="preserve">Attending, annual</t>
  </si>
  <si>
    <t xml:space="preserve">HERO. Captures 19.4 percent of quantified value.</t>
  </si>
  <si>
    <t xml:space="preserve">Chief, annual</t>
  </si>
  <si>
    <t xml:space="preserve">Anchor. 3.7x the hero.</t>
  </si>
  <si>
    <t xml:space="preserve">TYPICAL REDEMPTION (what a member actually uses)</t>
  </si>
  <si>
    <t xml:space="preserve">Resident, home dinners attended</t>
  </si>
  <si>
    <t xml:space="preserve">Of 4 available.</t>
  </si>
  <si>
    <t xml:space="preserve">Attending, home dinners</t>
  </si>
  <si>
    <t xml:space="preserve">Attending, away dinners</t>
  </si>
  <si>
    <t xml:space="preserve">Of 2 included.</t>
  </si>
  <si>
    <t xml:space="preserve">Attending, summit pass used</t>
  </si>
  <si>
    <t xml:space="preserve">Chief, dinners attended nationally</t>
  </si>
  <si>
    <t xml:space="preserve">Of up to 20 available. Travel is the natural cap.</t>
  </si>
  <si>
    <t xml:space="preserve">Chief, summit passes used</t>
  </si>
  <si>
    <t xml:space="preserve">Of 2.</t>
  </si>
  <si>
    <t xml:space="preserve">Chief, exhibitor booth used</t>
  </si>
  <si>
    <t xml:space="preserve">RETENTION AND ACQUISITION</t>
  </si>
  <si>
    <t xml:space="preserve">Resident annual retention</t>
  </si>
  <si>
    <t xml:space="preserve">ASSUMPTION. No history. The weakest number in the model.</t>
  </si>
  <si>
    <t xml:space="preserve">Attending annual retention</t>
  </si>
  <si>
    <t xml:space="preserve">ASSUMPTION.</t>
  </si>
  <si>
    <t xml:space="preserve">Chief annual retention</t>
  </si>
  <si>
    <t xml:space="preserve">CAC, Resident</t>
  </si>
  <si>
    <t xml:space="preserve">Mostly organic: content, keynote, nomination flow.</t>
  </si>
  <si>
    <t xml:space="preserve">CAC, Attending</t>
  </si>
  <si>
    <t xml:space="preserve">CAC, Chief</t>
  </si>
  <si>
    <t xml:space="preserve">Includes founder selling time.</t>
  </si>
  <si>
    <t xml:space="preserve">Blended CAC</t>
  </si>
  <si>
    <t xml:space="preserve">Used in the three-year build.</t>
  </si>
  <si>
    <t xml:space="preserve">CAPACITY (the binding constraint)</t>
  </si>
  <si>
    <t xml:space="preserve">Seats per dinner</t>
  </si>
  <si>
    <t xml:space="preserve">The format. Changing this changes the product.</t>
  </si>
  <si>
    <t xml:space="preserve">Paying-member share of seats</t>
  </si>
  <si>
    <t xml:space="preserve">1:1 builders to validators. Composition rule, not a preference.</t>
  </si>
  <si>
    <t xml:space="preserve">Paying seats available per dinner</t>
  </si>
  <si>
    <t xml:space="preserve">Average home dinners attended per paying member</t>
  </si>
  <si>
    <t xml:space="preserve">Drives the chapter ceiling in tab 6.</t>
  </si>
  <si>
    <t xml:space="preserve">SPONSORSHIP</t>
  </si>
  <si>
    <t xml:space="preserve">Per-dinner sponsor</t>
  </si>
  <si>
    <t xml:space="preserve">Business model band is $3,000 to $7,500. Modelled at the low end.</t>
  </si>
  <si>
    <t xml:space="preserve">Anchor partner, annual</t>
  </si>
  <si>
    <t xml:space="preserve">Band is $25,000 to $60,000.</t>
  </si>
  <si>
    <t xml:space="preserve">Category-exclusive partner, annual, each</t>
  </si>
  <si>
    <t xml:space="preserve">Band is $10,000 to $25,000.</t>
  </si>
  <si>
    <t xml:space="preserve">Summit sponsor, per summit</t>
  </si>
  <si>
    <t xml:space="preserve">Band is $10,000 to $50,000.</t>
  </si>
  <si>
    <t xml:space="preserve">Every blue cell is a stated assumption. The four that most deserve challenge before this goes to an investor: partner-hosted share (row 6), all three retention rates (rows 36 to 38), and the per-dinner sponsor attach rate in tab 7.</t>
  </si>
  <si>
    <t xml:space="preserve">Tier</t>
  </si>
  <si>
    <t xml:space="preserve">Annual fee</t>
  </si>
  <si>
    <t xml:space="preserve">Dinner cost</t>
  </si>
  <si>
    <t xml:space="preserve">Summit cost</t>
  </si>
  <si>
    <t xml:space="preserve">Kit + platform</t>
  </si>
  <si>
    <t xml:space="preserve">Total cost, UNSPONSORED</t>
  </si>
  <si>
    <t xml:space="preserve">Contribution, UNSPONSORED</t>
  </si>
  <si>
    <t xml:space="preserve">Total cost, SPONSORED</t>
  </si>
  <si>
    <t xml:space="preserve">Contribution, SPONSORED</t>
  </si>
  <si>
    <t xml:space="preserve">What this tells you</t>
  </si>
  <si>
    <t xml:space="preserve">Guest</t>
  </si>
  <si>
    <t xml:space="preserve">0</t>
  </si>
  <si>
    <t xml:space="preserve">This is the investment that makes every other tier sellable. A guest costs about $209 a year and is the reason a partner pays $15,000.</t>
  </si>
  <si>
    <t xml:space="preserve">Resident</t>
  </si>
  <si>
    <t xml:space="preserve">Positive only when dinners are sponsored. Unsponsored, Resident is a break-even tier at best.</t>
  </si>
  <si>
    <t xml:space="preserve">Attending</t>
  </si>
  <si>
    <t xml:space="preserve">The hero. Roughly 73 percent contribution when sponsored, and it carries the summit.</t>
  </si>
  <si>
    <t xml:space="preserve">Chief</t>
  </si>
  <si>
    <t xml:space="preserve">Highest absolute contribution per member by a wide margin. Twelve Chiefs contribute more than eighty Residents.</t>
  </si>
  <si>
    <t xml:space="preserve">Contribution margin, sponsored</t>
  </si>
  <si>
    <t xml:space="preserve">Read the two right-hand columns. With sponsored or partner-hosted dinners every paid tier carries healthy contribution. Guest is not a loss line, it is customer acquisition cost for the sponsorship business.</t>
  </si>
  <si>
    <t xml:space="preserve">Annual contribution (sponsored)</t>
  </si>
  <si>
    <t xml:space="preserve">Annual retention</t>
  </si>
  <si>
    <t xml:space="preserve">Expected lifetime, years</t>
  </si>
  <si>
    <t xml:space="preserve">LTV</t>
  </si>
  <si>
    <t xml:space="preserve">CAC</t>
  </si>
  <si>
    <t xml:space="preserve">LTV to CAC</t>
  </si>
  <si>
    <t xml:space="preserve">Read</t>
  </si>
  <si>
    <t xml:space="preserve">Volume tier. Pays back inside the first year and funds composition.</t>
  </si>
  <si>
    <t xml:space="preserve">The tier to push. Strong ratio and the longest payback runway of the three.</t>
  </si>
  <si>
    <t xml:space="preserve">Highest LTV by an order of magnitude, and the natural feeder into category partnership.</t>
  </si>
  <si>
    <t xml:space="preserve">Payback period, months</t>
  </si>
  <si>
    <t xml:space="preserve">Retention rates carry no history and are the softest inputs in the whole model. Treat every figure on this tab as directional until two renewal cycles have run. The honest investor line is that LTV is a projection, not a measurement.</t>
  </si>
  <si>
    <t xml:space="preserve">A ratio above 3 is generally considered healthy. All three tiers clear it comfortably on these assumptions, which is a signal that either the assumptions are optimistic or the pricing is conservative. Given the capacity ceiling in tab 6, conservative pricing is the more likely explanation, and there is room to raise Attending at the first renewal.</t>
  </si>
  <si>
    <t xml:space="preserve">Line</t>
  </si>
  <si>
    <t xml:space="preserve">One dinner</t>
  </si>
  <si>
    <t xml:space="preserve">One summit</t>
  </si>
  <si>
    <t xml:space="preserve">Attendees / seats</t>
  </si>
  <si>
    <t xml:space="preserve">Dinner is fixed at 40 by format. Summit shown at the year-two assumption.</t>
  </si>
  <si>
    <t xml:space="preserve">Delivery cost per head</t>
  </si>
  <si>
    <t xml:space="preserve">Blended for the dinner, all-in for the summit.</t>
  </si>
  <si>
    <t xml:space="preserve">Total delivery cost</t>
  </si>
  <si>
    <t xml:space="preserve">Sponsor revenue</t>
  </si>
  <si>
    <t xml:space="preserve">Per-dinner sponsor at the low end of the band. One summit sponsor.</t>
  </si>
  <si>
    <t xml:space="preserve">Ticket and booth revenue</t>
  </si>
  <si>
    <t xml:space="preserve">ASSUMPTION. Dinner: a few non-member seats at $70. Summit: mixed public, member and exhibitor revenue.</t>
  </si>
  <si>
    <t xml:space="preserve">Total event revenue</t>
  </si>
  <si>
    <t xml:space="preserve">Event contribution</t>
  </si>
  <si>
    <t xml:space="preserve">Before any membership revenue is counted.</t>
  </si>
  <si>
    <t xml:space="preserve">Contribution margin</t>
  </si>
  <si>
    <t xml:space="preserve">Break-even sponsor level, no ticket revenue</t>
  </si>
  <si>
    <t xml:space="preserve">The cheque size at which the event costs nothing.</t>
  </si>
  <si>
    <t xml:space="preserve">A dinner is contribution positive on a single low-band sponsor before a member has paid anything. That is the point of the whole structure: the events are funded by sponsorship, and membership revenue drops almost entirely to contribution.</t>
  </si>
  <si>
    <t xml:space="preserve">The summit is the opposite shape. It carries real delivery cost and depends on ticket and booth revenue, which is the least evidenced line in this model. Build it seat by seat before committing to a venue.</t>
  </si>
  <si>
    <t xml:space="preserve">Composition rule. Half the room is hosted guests.</t>
  </si>
  <si>
    <t xml:space="preserve">Paying seats per dinner</t>
  </si>
  <si>
    <t xml:space="preserve">Average home dinners per paying member</t>
  </si>
  <si>
    <t xml:space="preserve">Typical redemption, not entitlement.</t>
  </si>
  <si>
    <t xml:space="preserve">THE CHAPTER CEILING AT DIFFERENT CADENCES</t>
  </si>
  <si>
    <t xml:space="preserve">Dinners per city per year</t>
  </si>
  <si>
    <t xml:space="preserve">Paying seat-slots per year</t>
  </si>
  <si>
    <t xml:space="preserve">Ceiling on paying members per chapter</t>
  </si>
  <si>
    <t xml:space="preserve">Membership revenue per chapter</t>
  </si>
  <si>
    <t xml:space="preserve">5 chapters at this cadence</t>
  </si>
  <si>
    <t xml:space="preserve">Quarterly. The launch cadence.</t>
  </si>
  <si>
    <t xml:space="preserve">Every two months. The first real growth lever.</t>
  </si>
  <si>
    <t xml:space="preserve">Six weekly. Operationally heavy for one person.</t>
  </si>
  <si>
    <t xml:space="preserve">Monthly. Requires a chapter host per city.</t>
  </si>
  <si>
    <t xml:space="preserve">Blended ARPU used above</t>
  </si>
  <si>
    <t xml:space="preserve">Assumes a 53 / 35 / 12 split across Resident, Attending and Chief.</t>
  </si>
  <si>
    <t xml:space="preserve">THE FINDING. At quarterly cadence a city chapter tops out near 35 paying members. Five chapters cap membership revenue around $137,000 a year. That number is not a failure of pricing, it is the arithmetic of a 40 seat room with half its seats reserved for guests who never pay.</t>
  </si>
  <si>
    <t xml:space="preserve">Three consequences follow. First, growth comes from more cities and more evenings per city, not from selling harder into an existing chapter. Second, membership can never be the main revenue line, which is exactly why the sponsorship architecture exists. Third, a waitlist is a feature: it is the proof of scarcity that prices the sponsorship.</t>
  </si>
  <si>
    <t xml:space="preserve">The lever to watch is cadence. Moving Toronto alone from four dinners to eight roughly doubles that chapter without adding a city, at the cost of operating load. Model a chapter host before doing it.</t>
  </si>
  <si>
    <t xml:space="preserve">Year 1</t>
  </si>
  <si>
    <t xml:space="preserve">Year 2</t>
  </si>
  <si>
    <t xml:space="preserve">Year 3</t>
  </si>
  <si>
    <t xml:space="preserve">PROGRAMME</t>
  </si>
  <si>
    <t xml:space="preserve">Chapters live</t>
  </si>
  <si>
    <t xml:space="preserve">Toronto, Montreal, Vancouver first. Ottawa and Calgary in year two.</t>
  </si>
  <si>
    <t xml:space="preserve">Dinners in the year</t>
  </si>
  <si>
    <t xml:space="preserve">Year three lifts Toronto and Vancouver to six.</t>
  </si>
  <si>
    <t xml:space="preserve">Summits</t>
  </si>
  <si>
    <t xml:space="preserve">Toronto only in year one.</t>
  </si>
  <si>
    <t xml:space="preserve">MEMBERS</t>
  </si>
  <si>
    <t xml:space="preserve">Guest members (free)</t>
  </si>
  <si>
    <t xml:space="preserve">Target 1.5 guests per paying member to hold composition.</t>
  </si>
  <si>
    <t xml:space="preserve">The tier to push.</t>
  </si>
  <si>
    <t xml:space="preserve">Total paying members</t>
  </si>
  <si>
    <t xml:space="preserve">Seat capacity ceiling</t>
  </si>
  <si>
    <t xml:space="preserve">From tab 6. This is the hard limit.</t>
  </si>
  <si>
    <t xml:space="preserve">Capacity utilisation</t>
  </si>
  <si>
    <t xml:space="preserve">Above 90 percent means a waitlist, which is good, and oversubscription, which is not.</t>
  </si>
  <si>
    <t xml:space="preserve">REVENUE</t>
  </si>
  <si>
    <t xml:space="preserve">Membership</t>
  </si>
  <si>
    <t xml:space="preserve">Dinner sponsor attach rate</t>
  </si>
  <si>
    <t xml:space="preserve">Share of dinners with a sponsor or donated venue.</t>
  </si>
  <si>
    <t xml:space="preserve">Dinner sponsorship</t>
  </si>
  <si>
    <t xml:space="preserve">Anchor partners</t>
  </si>
  <si>
    <t xml:space="preserve">Anchor revenue</t>
  </si>
  <si>
    <t xml:space="preserve">Category-exclusive partners</t>
  </si>
  <si>
    <t xml:space="preserve">One per vertical: bank, CDMO, legal, cloud, insurer.</t>
  </si>
  <si>
    <t xml:space="preserve">Category revenue</t>
  </si>
  <si>
    <t xml:space="preserve">Summit sponsorship</t>
  </si>
  <si>
    <t xml:space="preserve">Summit tickets and booths</t>
  </si>
  <si>
    <t xml:space="preserve">WEAKEST LINE. Rebuild seat by seat before showing an investor.</t>
  </si>
  <si>
    <t xml:space="preserve">Event a la carte (away dinners, guest passes, public seats)</t>
  </si>
  <si>
    <t xml:space="preserve">TOTAL REVENUE</t>
  </si>
  <si>
    <t xml:space="preserve">COSTS</t>
  </si>
  <si>
    <t xml:space="preserve">Dinner delivery</t>
  </si>
  <si>
    <t xml:space="preserve">Summit attendees</t>
  </si>
  <si>
    <t xml:space="preserve">Summit delivery</t>
  </si>
  <si>
    <t xml:space="preserve">Welcome kits</t>
  </si>
  <si>
    <t xml:space="preserve">Platform and ops</t>
  </si>
  <si>
    <t xml:space="preserve">Guests included. They use the directory too.</t>
  </si>
  <si>
    <t xml:space="preserve">Cohorts</t>
  </si>
  <si>
    <t xml:space="preserve">Fixed. The cheapest perk in the stack.</t>
  </si>
  <si>
    <t xml:space="preserve">New paying members acquired</t>
  </si>
  <si>
    <t xml:space="preserve">Gross adds, after churn.</t>
  </si>
  <si>
    <t xml:space="preserve">Acquisition cost</t>
  </si>
  <si>
    <t xml:space="preserve">Fixed operating costs</t>
  </si>
  <si>
    <t xml:space="preserve">Tools, marketing, travel, insurance, legal, accounting.</t>
  </si>
  <si>
    <t xml:space="preserve">Founder and team compensation</t>
  </si>
  <si>
    <t xml:space="preserve">Nil in year one by choice. This is the honest line most models hide.</t>
  </si>
  <si>
    <t xml:space="preserve">TOTAL COSTS</t>
  </si>
  <si>
    <t xml:space="preserve">RESULT</t>
  </si>
  <si>
    <t xml:space="preserve">Contribution before compensation</t>
  </si>
  <si>
    <t xml:space="preserve">NET CONTRIBUTION</t>
  </si>
  <si>
    <t xml:space="preserve">Net margin</t>
  </si>
  <si>
    <t xml:space="preserve">Declines as compensation enters. That is intended, not a deterioration.</t>
  </si>
  <si>
    <t xml:space="preserve">Revenue per paying member</t>
  </si>
  <si>
    <t xml:space="preserve">Rises even though prices do not. Sponsorship per member is the reason.</t>
  </si>
  <si>
    <t xml:space="preserve">Membership share of revenue</t>
  </si>
  <si>
    <t xml:space="preserve">Under 30 percent throughout.</t>
  </si>
  <si>
    <t xml:space="preserve">Sponsorship share of revenue</t>
  </si>
  <si>
    <t xml:space="preserve">Around half throughout. This is the business.</t>
  </si>
  <si>
    <t xml:space="preserve">Rows 43 and 44 are the investor story in two numbers. Membership never exceeds 30 percent of revenue and sponsorship sits near half. Membership is not the product being sold, it is the mechanism that makes the room provable enough to sell sponsorship against.</t>
  </si>
  <si>
    <t xml:space="preserve">Year two line</t>
  </si>
  <si>
    <t xml:space="preserve">Bear</t>
  </si>
  <si>
    <t xml:space="preserve">Base</t>
  </si>
  <si>
    <t xml:space="preserve">Bull</t>
  </si>
  <si>
    <t xml:space="preserve">Partner-hosted share of dinners</t>
  </si>
  <si>
    <t xml:space="preserve">The cost lever.</t>
  </si>
  <si>
    <t xml:space="preserve">The revenue lever.</t>
  </si>
  <si>
    <t xml:space="preserve">Paying members</t>
  </si>
  <si>
    <t xml:space="preserve">Bear assumes two chapters underfill.</t>
  </si>
  <si>
    <t xml:space="preserve">Bear assumes only one vertical closes.</t>
  </si>
  <si>
    <t xml:space="preserve">The least evidenced line.</t>
  </si>
  <si>
    <t xml:space="preserve">Blended ARPU</t>
  </si>
  <si>
    <t xml:space="preserve">Held constant so the scenarios test volume and sponsorship, not price.</t>
  </si>
  <si>
    <t xml:space="preserve">Membership revenue</t>
  </si>
  <si>
    <t xml:space="preserve">20 dinners in year two.</t>
  </si>
  <si>
    <t xml:space="preserve">Anchor and category sponsorship</t>
  </si>
  <si>
    <t xml:space="preserve">Two summits.</t>
  </si>
  <si>
    <t xml:space="preserve">Event a la carte</t>
  </si>
  <si>
    <t xml:space="preserve">Total revenue</t>
  </si>
  <si>
    <t xml:space="preserve">Dinner delivery cost</t>
  </si>
  <si>
    <t xml:space="preserve">Summit delivery cost</t>
  </si>
  <si>
    <t xml:space="preserve">Members, kits, platform, cohorts, acquisition</t>
  </si>
  <si>
    <t xml:space="preserve">Blended per-member servicing and acquisition.</t>
  </si>
  <si>
    <t xml:space="preserve">Fixed costs and compensation</t>
  </si>
  <si>
    <t xml:space="preserve">Total costs</t>
  </si>
  <si>
    <t xml:space="preserve">The bear case is the one to defend. It assumes half the dinners go unsponsored, only one category partner closes, two chapters underfill and summit revenue lands 39 percent below plan. If the bear case still clears zero, the model is not fragile.</t>
  </si>
  <si>
    <t xml:space="preserve">Note what is NOT flexed here: price. All three scenarios hold ARPU constant, because the risk in this business is filling rooms and closing sponsors, not whether $790 is the right number.</t>
  </si>
  <si>
    <t xml:space="preserve">TWO-WAY SENSITIVITY: annual dinner programme net cost, 20 dinners</t>
  </si>
  <si>
    <t xml:space="preserve">Negative means the dinner programme generates a surplus before any membership revenue.</t>
  </si>
  <si>
    <t xml:space="preserve">Partner-hosted share \ Sponsor per dinner</t>
  </si>
  <si>
    <t xml:space="preserve">$0</t>
  </si>
  <si>
    <t xml:space="preserve">$2,000</t>
  </si>
  <si>
    <t xml:space="preserve">$4,000</t>
  </si>
  <si>
    <t xml:space="preserve">$6,000</t>
  </si>
  <si>
    <t xml:space="preserve">All restaurant. The most expensive way to run this.</t>
  </si>
  <si>
    <t xml:space="preserve">The base case.</t>
  </si>
  <si>
    <t xml:space="preserve">All partner-hosted. Venue relationships are worth more than any price rise.</t>
  </si>
  <si>
    <t xml:space="preserve">BREAK-EVEN ON PAYING MEMBERS (year two fixed base)</t>
  </si>
  <si>
    <t xml:space="preserve">Fixed costs plus compensation</t>
  </si>
  <si>
    <t xml:space="preserve">From the base scenario.</t>
  </si>
  <si>
    <t xml:space="preserve">Sponsorship and summit contribution</t>
  </si>
  <si>
    <t xml:space="preserve">Sponsorship and summit revenue less summit delivery.</t>
  </si>
  <si>
    <t xml:space="preserve">Shortfall to be covered by membership</t>
  </si>
  <si>
    <t xml:space="preserve">If negative, sponsorship alone already covers the fixed base.</t>
  </si>
  <si>
    <t xml:space="preserve">Contribution per paying member</t>
  </si>
  <si>
    <t xml:space="preserve">Using the Attending tier as the marginal member.</t>
  </si>
  <si>
    <t xml:space="preserve">Paying members required to break even</t>
  </si>
  <si>
    <t xml:space="preserve">Read the top table first. Every row moving down and every column moving right is money the business keeps. Moving from all-restaurant unsponsored (top left) to all-partner-hosted at a $4,000 sponsor (bottom, third column) is a swing of roughly $148,000 a year on the dinner programme alone. No pricing decision in this business is worth as much as venue partnerships and sponsor attach.</t>
  </si>
  <si>
    <t xml:space="preserve">Metric</t>
  </si>
  <si>
    <t xml:space="preserve">Net contribution</t>
  </si>
  <si>
    <t xml:space="preserve">After all costs including compensation from year two.</t>
  </si>
  <si>
    <t xml:space="preserve">Revenue growth</t>
  </si>
  <si>
    <t xml:space="preserve">n/a</t>
  </si>
  <si>
    <t xml:space="preserve">Guest members</t>
  </si>
  <si>
    <t xml:space="preserve">The asset that prices the sponsorship.</t>
  </si>
  <si>
    <t xml:space="preserve">Rises without a price increase.</t>
  </si>
  <si>
    <t xml:space="preserve">The core of the model.</t>
  </si>
  <si>
    <t xml:space="preserve">Above 90 percent needs a new chapter or a higher cadence.</t>
  </si>
  <si>
    <t xml:space="preserve">Rooms convened</t>
  </si>
  <si>
    <t xml:space="preserve">Dinners plus summits.</t>
  </si>
  <si>
    <t xml:space="preserve">Blended LTV to CAC</t>
  </si>
  <si>
    <t xml:space="preserve">Using the Attending tier. Directional until two renewal cycles run.</t>
  </si>
  <si>
    <t xml:space="preserve">The metric an investor will fixate on is capacity utilisation. It is the only line that shows this business has a physical constraint, and it is the reason the expansion plan is about cities and cadence rather than a sales target.</t>
  </si>
  <si>
    <t xml:space="preserve">Risk</t>
  </si>
  <si>
    <t xml:space="preserve">What breaks</t>
  </si>
  <si>
    <t xml:space="preserve">Severity</t>
  </si>
  <si>
    <t xml:space="preserve">How to validate or de-risk before it matters</t>
  </si>
  <si>
    <t xml:space="preserve">Retention is unproven</t>
  </si>
  <si>
    <t xml:space="preserve">Every LTV figure in tab 4 rests on assumed renewal rates with no history. If Resident retention is 40 percent rather than 65, LTV falls by a third.</t>
  </si>
  <si>
    <t xml:space="preserve">High</t>
  </si>
  <si>
    <t xml:space="preserve">Do not quote LTV to an investor as fact. Run two renewal cycles and report actuals. Track intent from dinner two onward.</t>
  </si>
  <si>
    <t xml:space="preserve">Summit revenue is the weakest line</t>
  </si>
  <si>
    <t xml:space="preserve">Years two and three carry $90,000 and $110,000 of summit ticket and booth revenue on a single blended assumption.</t>
  </si>
  <si>
    <t xml:space="preserve">Rebuild seat by seat: pass count by type, booth count by tier, sponsor cheques. Do it before the venue is committed.</t>
  </si>
  <si>
    <t xml:space="preserve">Sponsor attach rate</t>
  </si>
  <si>
    <t xml:space="preserve">The model needs 80 percent of dinners sponsored or partner-hosted by year two. At 50 percent the dinner programme swings to a real cost.</t>
  </si>
  <si>
    <t xml:space="preserve">Sell the first four dinner sponsors before scaling the calendar. Treat an unsponsored dinner as a decision not to hold one.</t>
  </si>
  <si>
    <t xml:space="preserve">Capacity ceiling misread as a growth problem</t>
  </si>
  <si>
    <t xml:space="preserve">Pressure to sell more memberships into a full chapter degrades composition, which is the entire asset.</t>
  </si>
  <si>
    <t xml:space="preserve">Hold the ceiling. Open a waitlist and use it as sponsorship proof. Add cities or cadence, never seats.</t>
  </si>
  <si>
    <t xml:space="preserve">Guest supply</t>
  </si>
  <si>
    <t xml:space="preserve">If guests do not come, paying members leave. The free side is the product.</t>
  </si>
  <si>
    <t xml:space="preserve">Track guest-to-payer ratio every dinner. Below 1.2 to 1, pause paid acquisition and recruit guests.</t>
  </si>
  <si>
    <t xml:space="preserve">Founder concentration</t>
  </si>
  <si>
    <t xml:space="preserve">Curation, seating, introductions and sponsor selling all sit with one person. This is the binding operational constraint well before capital is.</t>
  </si>
  <si>
    <t xml:space="preserve">Chapter hosts by year two. Document the composition method so it is transferable.</t>
  </si>
  <si>
    <t xml:space="preserve">Category partner ladder</t>
  </si>
  <si>
    <t xml:space="preserve">Year three assumes five category partners at $15,000. Only one exists in the plan today.</t>
  </si>
  <si>
    <t xml:space="preserve">Medium</t>
  </si>
  <si>
    <t xml:space="preserve">Close one, publish the composition report it buys, then use it to sell the second.</t>
  </si>
  <si>
    <t xml:space="preserve">Venue cost inflation</t>
  </si>
  <si>
    <t xml:space="preserve">The blended $80 seat assumes half of dinners are partner-hosted. Restaurant-only pushes it to $105.</t>
  </si>
  <si>
    <t xml:space="preserve">Sign two venue partners per chapter before the chapter opens.</t>
  </si>
  <si>
    <t xml:space="preserve">Tax and registration</t>
  </si>
  <si>
    <t xml:space="preserve">GST/HST registration is required once revenue crosses $30,000 in four quarters. Year one crosses it immediately.</t>
  </si>
  <si>
    <t xml:space="preserve">Register before the first membership is sold. Separate QST registration for Quebec.</t>
  </si>
  <si>
    <t xml:space="preserve">Price is too low</t>
  </si>
  <si>
    <t xml:space="preserve">LTV to CAC above 7 on every tier suggests conservative pricing rather than exceptional economics.</t>
  </si>
  <si>
    <t xml:space="preserve">Low</t>
  </si>
  <si>
    <t xml:space="preserve">Hold prices through year one to buy proof, then test Attending upward at the first renewal.</t>
  </si>
  <si>
    <t xml:space="preserve">The four High severity risks share one root: this model projects a business that has not yet held its first dinner. Every number here is a hypothesis with arithmetic attached. Present it that way and it is credible. Present it as a forecast and it is not.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</si>
</sst>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1A1A1A"/>
      <name val="Arial"/>
      <family val="0"/>
      <charset val="1"/>
    </font>
    <font>
      <b val="true"/>
      <sz val="11"/>
      <color rgb="FFFFFFFF"/>
      <name val="Arial"/>
      <family val="0"/>
      <charset val="1"/>
    </font>
    <font>
      <sz val="10"/>
      <color rgb="FF0000CC"/>
      <name val="Arial"/>
      <family val="0"/>
      <charset val="1"/>
    </font>
    <font>
      <i val="true"/>
      <sz val="9"/>
      <color rgb="FFB05A00"/>
      <name val="Arial"/>
      <family val="0"/>
      <charset val="1"/>
    </font>
    <font>
      <b val="true"/>
      <sz val="10"/>
      <color rgb="FF1A1A1A"/>
      <name val="Arial"/>
      <family val="0"/>
      <charset val="1"/>
    </font>
    <font>
      <b val="true"/>
      <sz val="10"/>
      <name val="Arial"/>
      <family val="0"/>
      <charset val="1"/>
    </font>
    <font>
      <b val="true"/>
      <sz val="12"/>
      <color rgb="FF16191D"/>
      <name val="Arial"/>
      <family val="0"/>
      <charset val="1"/>
    </font>
    <font>
      <b val="true"/>
      <sz val="10"/>
      <color rgb="FF0000CC"/>
      <name val="Arial"/>
      <family val="0"/>
      <charset val="1"/>
    </font>
  </fonts>
  <fills count="4">
    <fill>
      <patternFill patternType="none"/>
    </fill>
    <fill>
      <patternFill patternType="gray125"/>
    </fill>
    <fill>
      <patternFill patternType="solid">
        <fgColor rgb="FF16191D"/>
        <bgColor rgb="FF1A1A1A"/>
      </patternFill>
    </fill>
    <fill>
      <patternFill patternType="solid">
        <fgColor rgb="FFC41230"/>
        <bgColor rgb="FF99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41230"/>
      <rgbColor rgb="FF00FF00"/>
      <rgbColor rgb="FF0000CC"/>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6191D"/>
      <rgbColor rgb="FF333300"/>
      <rgbColor rgb="FFB05A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6"/>
  </cols>
  <sheetData>
    <row r="1" customFormat="false" ht="15" hidden="false" customHeight="false" outlineLevel="0" collapsed="false">
      <c r="A1" s="1" t="s">
        <v>0</v>
      </c>
      <c r="B1" s="1" t="s">
        <v>1</v>
      </c>
    </row>
    <row r="2" customFormat="false" ht="35.05" hidden="false" customHeight="false" outlineLevel="0" collapsed="false">
      <c r="A2" s="2" t="s">
        <v>2</v>
      </c>
      <c r="B2" s="2" t="s">
        <v>3</v>
      </c>
    </row>
    <row r="3" customFormat="false" ht="15" hidden="false" customHeight="false" outlineLevel="0" collapsed="false">
      <c r="A3" s="2" t="s">
        <v>4</v>
      </c>
      <c r="B3" s="2" t="s">
        <v>5</v>
      </c>
    </row>
    <row r="4" customFormat="false" ht="23.85" hidden="false" customHeight="false" outlineLevel="0" collapsed="false">
      <c r="A4" s="2" t="s">
        <v>6</v>
      </c>
      <c r="B4" s="2" t="s">
        <v>7</v>
      </c>
    </row>
    <row r="5" customFormat="false" ht="23.85" hidden="false" customHeight="false" outlineLevel="0" collapsed="false">
      <c r="A5" s="2" t="s">
        <v>8</v>
      </c>
      <c r="B5" s="2" t="s">
        <v>9</v>
      </c>
    </row>
    <row r="6" customFormat="false" ht="46.25" hidden="false" customHeight="false" outlineLevel="0" collapsed="false">
      <c r="A6" s="2" t="s">
        <v>10</v>
      </c>
      <c r="B6" s="2" t="s">
        <v>11</v>
      </c>
    </row>
    <row r="7" customFormat="false" ht="35.05" hidden="false" customHeight="false" outlineLevel="0" collapsed="false">
      <c r="A7" s="2" t="s">
        <v>12</v>
      </c>
      <c r="B7" s="2" t="s">
        <v>13</v>
      </c>
    </row>
    <row r="8" customFormat="false" ht="23.85" hidden="false" customHeight="false" outlineLevel="0" collapsed="false">
      <c r="A8" s="2" t="s">
        <v>14</v>
      </c>
      <c r="B8" s="2" t="s">
        <v>15</v>
      </c>
    </row>
    <row r="9" customFormat="false" ht="23.85" hidden="false" customHeight="false" outlineLevel="0" collapsed="false">
      <c r="A9" s="2" t="s">
        <v>16</v>
      </c>
      <c r="B9"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80"/>
  </cols>
  <sheetData>
    <row r="1" customFormat="false" ht="15" hidden="false" customHeight="false" outlineLevel="0" collapsed="false">
      <c r="A1" s="1" t="s">
        <v>18</v>
      </c>
      <c r="B1" s="1" t="s">
        <v>19</v>
      </c>
      <c r="C1" s="1" t="s">
        <v>20</v>
      </c>
    </row>
    <row r="3" customFormat="false" ht="15" hidden="false" customHeight="false" outlineLevel="0" collapsed="false">
      <c r="A3" s="3" t="s">
        <v>21</v>
      </c>
      <c r="B3" s="4"/>
      <c r="C3" s="4"/>
    </row>
    <row r="4" customFormat="false" ht="15" hidden="false" customHeight="false" outlineLevel="0" collapsed="false">
      <c r="A4" s="2" t="s">
        <v>22</v>
      </c>
      <c r="B4" s="5" t="n">
        <v>105</v>
      </c>
      <c r="C4" s="2" t="s">
        <v>23</v>
      </c>
    </row>
    <row r="5" customFormat="false" ht="15" hidden="false" customHeight="false" outlineLevel="0" collapsed="false">
      <c r="A5" s="2" t="s">
        <v>24</v>
      </c>
      <c r="B5" s="5" t="n">
        <v>55</v>
      </c>
      <c r="C5" s="2" t="s">
        <v>25</v>
      </c>
    </row>
    <row r="6" customFormat="false" ht="15" hidden="false" customHeight="false" outlineLevel="0" collapsed="false">
      <c r="A6" s="2" t="s">
        <v>26</v>
      </c>
      <c r="B6" s="5" t="n">
        <v>0.5</v>
      </c>
      <c r="C6" s="2" t="s">
        <v>27</v>
      </c>
    </row>
    <row r="7" customFormat="false" ht="15" hidden="false" customHeight="false" outlineLevel="0" collapsed="false">
      <c r="A7" s="2" t="s">
        <v>28</v>
      </c>
      <c r="B7" s="2" t="n">
        <f aca="false">B4*(1-B6)+B5*B6</f>
        <v>80</v>
      </c>
      <c r="C7" s="2" t="s">
        <v>29</v>
      </c>
    </row>
    <row r="8" customFormat="false" ht="15" hidden="false" customHeight="false" outlineLevel="0" collapsed="false">
      <c r="A8" s="2" t="s">
        <v>30</v>
      </c>
      <c r="B8" s="5" t="n">
        <v>200</v>
      </c>
      <c r="C8" s="2" t="s">
        <v>31</v>
      </c>
    </row>
    <row r="9" customFormat="false" ht="15" hidden="false" customHeight="false" outlineLevel="0" collapsed="false">
      <c r="A9" s="2" t="s">
        <v>32</v>
      </c>
      <c r="B9" s="5" t="n">
        <v>400</v>
      </c>
      <c r="C9" s="2" t="s">
        <v>33</v>
      </c>
    </row>
    <row r="10" customFormat="false" ht="15" hidden="false" customHeight="false" outlineLevel="0" collapsed="false">
      <c r="A10" s="2" t="s">
        <v>34</v>
      </c>
      <c r="B10" s="5" t="n">
        <v>45</v>
      </c>
      <c r="C10" s="2" t="s">
        <v>35</v>
      </c>
    </row>
    <row r="11" customFormat="false" ht="15" hidden="false" customHeight="false" outlineLevel="0" collapsed="false">
      <c r="A11" s="2" t="s">
        <v>36</v>
      </c>
      <c r="B11" s="5" t="n">
        <v>120</v>
      </c>
      <c r="C11" s="2" t="s">
        <v>37</v>
      </c>
    </row>
    <row r="12" customFormat="false" ht="15" hidden="false" customHeight="false" outlineLevel="0" collapsed="false">
      <c r="A12" s="2" t="s">
        <v>38</v>
      </c>
      <c r="B12" s="5" t="n">
        <v>25</v>
      </c>
      <c r="C12" s="2" t="s">
        <v>39</v>
      </c>
    </row>
    <row r="13" customFormat="false" ht="15" hidden="false" customHeight="false" outlineLevel="0" collapsed="false">
      <c r="A13" s="2" t="s">
        <v>40</v>
      </c>
      <c r="B13" s="5" t="n">
        <v>150</v>
      </c>
      <c r="C13" s="2" t="s">
        <v>41</v>
      </c>
    </row>
    <row r="14" customFormat="false" ht="15" hidden="false" customHeight="false" outlineLevel="0" collapsed="false">
      <c r="A14" s="2" t="s">
        <v>42</v>
      </c>
      <c r="B14" s="5" t="n">
        <v>8</v>
      </c>
      <c r="C14" s="2"/>
    </row>
    <row r="16" customFormat="false" ht="15" hidden="false" customHeight="false" outlineLevel="0" collapsed="false">
      <c r="A16" s="3" t="s">
        <v>43</v>
      </c>
      <c r="B16" s="4"/>
      <c r="C16" s="4"/>
    </row>
    <row r="17" customFormat="false" ht="15" hidden="false" customHeight="false" outlineLevel="0" collapsed="false">
      <c r="A17" s="2" t="s">
        <v>44</v>
      </c>
      <c r="B17" s="5" t="n">
        <v>70</v>
      </c>
      <c r="C17" s="2" t="s">
        <v>45</v>
      </c>
    </row>
    <row r="18" customFormat="false" ht="15" hidden="false" customHeight="false" outlineLevel="0" collapsed="false">
      <c r="A18" s="2" t="s">
        <v>46</v>
      </c>
      <c r="B18" s="5" t="n">
        <v>395</v>
      </c>
      <c r="C18" s="2"/>
    </row>
    <row r="19" customFormat="false" ht="15" hidden="false" customHeight="false" outlineLevel="0" collapsed="false">
      <c r="A19" s="2" t="s">
        <v>47</v>
      </c>
      <c r="B19" s="5" t="n">
        <v>2500</v>
      </c>
      <c r="C19" s="2"/>
    </row>
    <row r="21" customFormat="false" ht="15" hidden="false" customHeight="false" outlineLevel="0" collapsed="false">
      <c r="A21" s="3" t="s">
        <v>48</v>
      </c>
      <c r="B21" s="4"/>
      <c r="C21" s="4"/>
    </row>
    <row r="22" customFormat="false" ht="15" hidden="false" customHeight="false" outlineLevel="0" collapsed="false">
      <c r="A22" s="2" t="s">
        <v>49</v>
      </c>
      <c r="B22" s="5" t="n">
        <v>290</v>
      </c>
      <c r="C22" s="2" t="s">
        <v>50</v>
      </c>
    </row>
    <row r="23" customFormat="false" ht="15" hidden="false" customHeight="false" outlineLevel="0" collapsed="false">
      <c r="A23" s="2" t="s">
        <v>51</v>
      </c>
      <c r="B23" s="5" t="n">
        <v>790</v>
      </c>
      <c r="C23" s="2" t="s">
        <v>52</v>
      </c>
    </row>
    <row r="24" customFormat="false" ht="15" hidden="false" customHeight="false" outlineLevel="0" collapsed="false">
      <c r="A24" s="2" t="s">
        <v>53</v>
      </c>
      <c r="B24" s="5" t="n">
        <v>2950</v>
      </c>
      <c r="C24" s="2" t="s">
        <v>54</v>
      </c>
    </row>
    <row r="26" customFormat="false" ht="15" hidden="false" customHeight="false" outlineLevel="0" collapsed="false">
      <c r="A26" s="3" t="s">
        <v>55</v>
      </c>
      <c r="B26" s="4"/>
      <c r="C26" s="4"/>
    </row>
    <row r="27" customFormat="false" ht="15" hidden="false" customHeight="false" outlineLevel="0" collapsed="false">
      <c r="A27" s="2" t="s">
        <v>56</v>
      </c>
      <c r="B27" s="5" t="n">
        <v>2.3</v>
      </c>
      <c r="C27" s="2" t="s">
        <v>57</v>
      </c>
    </row>
    <row r="28" customFormat="false" ht="15" hidden="false" customHeight="false" outlineLevel="0" collapsed="false">
      <c r="A28" s="2" t="s">
        <v>58</v>
      </c>
      <c r="B28" s="5" t="n">
        <v>2.3</v>
      </c>
      <c r="C28" s="2"/>
    </row>
    <row r="29" customFormat="false" ht="15" hidden="false" customHeight="false" outlineLevel="0" collapsed="false">
      <c r="A29" s="2" t="s">
        <v>59</v>
      </c>
      <c r="B29" s="5" t="n">
        <v>0.6</v>
      </c>
      <c r="C29" s="2" t="s">
        <v>60</v>
      </c>
    </row>
    <row r="30" customFormat="false" ht="15" hidden="false" customHeight="false" outlineLevel="0" collapsed="false">
      <c r="A30" s="2" t="s">
        <v>61</v>
      </c>
      <c r="B30" s="5" t="n">
        <v>0.7</v>
      </c>
      <c r="C30" s="2"/>
    </row>
    <row r="31" customFormat="false" ht="15" hidden="false" customHeight="false" outlineLevel="0" collapsed="false">
      <c r="A31" s="2" t="s">
        <v>62</v>
      </c>
      <c r="B31" s="5" t="n">
        <v>6</v>
      </c>
      <c r="C31" s="2" t="s">
        <v>63</v>
      </c>
    </row>
    <row r="32" customFormat="false" ht="15" hidden="false" customHeight="false" outlineLevel="0" collapsed="false">
      <c r="A32" s="2" t="s">
        <v>64</v>
      </c>
      <c r="B32" s="5" t="n">
        <v>1.5</v>
      </c>
      <c r="C32" s="2" t="s">
        <v>65</v>
      </c>
    </row>
    <row r="33" customFormat="false" ht="15" hidden="false" customHeight="false" outlineLevel="0" collapsed="false">
      <c r="A33" s="2" t="s">
        <v>66</v>
      </c>
      <c r="B33" s="5" t="n">
        <v>1</v>
      </c>
      <c r="C33" s="2"/>
    </row>
    <row r="35" customFormat="false" ht="15" hidden="false" customHeight="false" outlineLevel="0" collapsed="false">
      <c r="A35" s="3" t="s">
        <v>67</v>
      </c>
      <c r="B35" s="4"/>
      <c r="C35" s="4"/>
    </row>
    <row r="36" customFormat="false" ht="15" hidden="false" customHeight="false" outlineLevel="0" collapsed="false">
      <c r="A36" s="2" t="s">
        <v>68</v>
      </c>
      <c r="B36" s="5" t="n">
        <v>0.65</v>
      </c>
      <c r="C36" s="2" t="s">
        <v>69</v>
      </c>
    </row>
    <row r="37" customFormat="false" ht="15" hidden="false" customHeight="false" outlineLevel="0" collapsed="false">
      <c r="A37" s="2" t="s">
        <v>70</v>
      </c>
      <c r="B37" s="5" t="n">
        <v>0.75</v>
      </c>
      <c r="C37" s="2" t="s">
        <v>71</v>
      </c>
    </row>
    <row r="38" customFormat="false" ht="15" hidden="false" customHeight="false" outlineLevel="0" collapsed="false">
      <c r="A38" s="2" t="s">
        <v>72</v>
      </c>
      <c r="B38" s="5" t="n">
        <v>0.85</v>
      </c>
      <c r="C38" s="2" t="s">
        <v>71</v>
      </c>
    </row>
    <row r="39" customFormat="false" ht="15" hidden="false" customHeight="false" outlineLevel="0" collapsed="false">
      <c r="A39" s="2" t="s">
        <v>73</v>
      </c>
      <c r="B39" s="5" t="n">
        <v>80</v>
      </c>
      <c r="C39" s="2" t="s">
        <v>74</v>
      </c>
    </row>
    <row r="40" customFormat="false" ht="15" hidden="false" customHeight="false" outlineLevel="0" collapsed="false">
      <c r="A40" s="2" t="s">
        <v>75</v>
      </c>
      <c r="B40" s="5" t="n">
        <v>250</v>
      </c>
      <c r="C40" s="2"/>
    </row>
    <row r="41" customFormat="false" ht="15" hidden="false" customHeight="false" outlineLevel="0" collapsed="false">
      <c r="A41" s="2" t="s">
        <v>76</v>
      </c>
      <c r="B41" s="5" t="n">
        <v>900</v>
      </c>
      <c r="C41" s="2" t="s">
        <v>77</v>
      </c>
    </row>
    <row r="42" customFormat="false" ht="15" hidden="false" customHeight="false" outlineLevel="0" collapsed="false">
      <c r="A42" s="2" t="s">
        <v>78</v>
      </c>
      <c r="B42" s="5" t="n">
        <v>220</v>
      </c>
      <c r="C42" s="2" t="s">
        <v>79</v>
      </c>
    </row>
    <row r="44" customFormat="false" ht="15" hidden="false" customHeight="false" outlineLevel="0" collapsed="false">
      <c r="A44" s="3" t="s">
        <v>80</v>
      </c>
      <c r="B44" s="4"/>
      <c r="C44" s="4"/>
    </row>
    <row r="45" customFormat="false" ht="15" hidden="false" customHeight="false" outlineLevel="0" collapsed="false">
      <c r="A45" s="2" t="s">
        <v>81</v>
      </c>
      <c r="B45" s="5" t="n">
        <v>40</v>
      </c>
      <c r="C45" s="2" t="s">
        <v>82</v>
      </c>
    </row>
    <row r="46" customFormat="false" ht="15" hidden="false" customHeight="false" outlineLevel="0" collapsed="false">
      <c r="A46" s="2" t="s">
        <v>83</v>
      </c>
      <c r="B46" s="5" t="n">
        <v>0.5</v>
      </c>
      <c r="C46" s="2" t="s">
        <v>84</v>
      </c>
    </row>
    <row r="47" customFormat="false" ht="15" hidden="false" customHeight="false" outlineLevel="0" collapsed="false">
      <c r="A47" s="2" t="s">
        <v>85</v>
      </c>
      <c r="B47" s="2" t="n">
        <f aca="false">B45*B46</f>
        <v>20</v>
      </c>
      <c r="C47" s="2" t="s">
        <v>29</v>
      </c>
    </row>
    <row r="48" customFormat="false" ht="15" hidden="false" customHeight="false" outlineLevel="0" collapsed="false">
      <c r="A48" s="2" t="s">
        <v>86</v>
      </c>
      <c r="B48" s="5" t="n">
        <v>2.3</v>
      </c>
      <c r="C48" s="2" t="s">
        <v>87</v>
      </c>
    </row>
    <row r="50" customFormat="false" ht="15" hidden="false" customHeight="false" outlineLevel="0" collapsed="false">
      <c r="A50" s="3" t="s">
        <v>88</v>
      </c>
      <c r="B50" s="4"/>
      <c r="C50" s="4"/>
    </row>
    <row r="51" customFormat="false" ht="15" hidden="false" customHeight="false" outlineLevel="0" collapsed="false">
      <c r="A51" s="2" t="s">
        <v>89</v>
      </c>
      <c r="B51" s="5" t="n">
        <v>4000</v>
      </c>
      <c r="C51" s="2" t="s">
        <v>90</v>
      </c>
    </row>
    <row r="52" customFormat="false" ht="15" hidden="false" customHeight="false" outlineLevel="0" collapsed="false">
      <c r="A52" s="2" t="s">
        <v>91</v>
      </c>
      <c r="B52" s="5" t="n">
        <v>35000</v>
      </c>
      <c r="C52" s="2" t="s">
        <v>92</v>
      </c>
    </row>
    <row r="53" customFormat="false" ht="15" hidden="false" customHeight="false" outlineLevel="0" collapsed="false">
      <c r="A53" s="2" t="s">
        <v>93</v>
      </c>
      <c r="B53" s="5" t="n">
        <v>15000</v>
      </c>
      <c r="C53" s="2" t="s">
        <v>94</v>
      </c>
    </row>
    <row r="54" customFormat="false" ht="15" hidden="false" customHeight="false" outlineLevel="0" collapsed="false">
      <c r="A54" s="2" t="s">
        <v>95</v>
      </c>
      <c r="B54" s="5" t="n">
        <v>25000</v>
      </c>
      <c r="C54" s="2" t="s">
        <v>96</v>
      </c>
    </row>
    <row r="56" customFormat="false" ht="43.25" hidden="false" customHeight="false" outlineLevel="0" collapsed="false">
      <c r="A56" s="6"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5"/>
    <col collapsed="false" customWidth="true" hidden="false" outlineLevel="0" max="7" min="6" style="0" width="17"/>
    <col collapsed="false" customWidth="true" hidden="false" outlineLevel="0" max="9" min="8" style="0" width="19"/>
    <col collapsed="false" customWidth="true" hidden="false" outlineLevel="0" max="10" min="10" style="0" width="46"/>
  </cols>
  <sheetData>
    <row r="1" customFormat="false" ht="23.85" hidden="false" customHeight="false" outlineLevel="0" collapsed="false">
      <c r="A1" s="1" t="s">
        <v>98</v>
      </c>
      <c r="B1" s="1" t="s">
        <v>99</v>
      </c>
      <c r="C1" s="1" t="s">
        <v>100</v>
      </c>
      <c r="D1" s="1" t="s">
        <v>101</v>
      </c>
      <c r="E1" s="1" t="s">
        <v>102</v>
      </c>
      <c r="F1" s="1" t="s">
        <v>103</v>
      </c>
      <c r="G1" s="1" t="s">
        <v>104</v>
      </c>
      <c r="H1" s="1" t="s">
        <v>105</v>
      </c>
      <c r="I1" s="1" t="s">
        <v>106</v>
      </c>
      <c r="J1" s="1" t="s">
        <v>107</v>
      </c>
    </row>
    <row r="2" customFormat="false" ht="35.05" hidden="false" customHeight="false" outlineLevel="0" collapsed="false">
      <c r="A2" s="2" t="s">
        <v>108</v>
      </c>
      <c r="B2" s="2" t="n">
        <v>0</v>
      </c>
      <c r="C2" s="2" t="n">
        <f aca="false">'2 Drivers'!$B$48*'2 Drivers'!$B$7</f>
        <v>184</v>
      </c>
      <c r="D2" s="2" t="s">
        <v>109</v>
      </c>
      <c r="E2" s="2" t="n">
        <f aca="false">'2 Drivers'!$B$12</f>
        <v>25</v>
      </c>
      <c r="F2" s="2" t="n">
        <f aca="false">C2+D2+E2</f>
        <v>209</v>
      </c>
      <c r="G2" s="2" t="str">
        <f aca="false">IF(B2=0,"n/a, this is the magnet",B2-F2)</f>
        <v>n/a, this is the magnet</v>
      </c>
      <c r="H2" s="2" t="n">
        <f aca="false">D2+E2</f>
        <v>25</v>
      </c>
      <c r="I2" s="2" t="str">
        <f aca="false">IF(B2=0,"n/a",B2-H2)</f>
        <v>n/a</v>
      </c>
      <c r="J2" s="2" t="s">
        <v>110</v>
      </c>
    </row>
    <row r="3" customFormat="false" ht="23.85" hidden="false" customHeight="false" outlineLevel="0" collapsed="false">
      <c r="A3" s="2" t="s">
        <v>111</v>
      </c>
      <c r="B3" s="2" t="n">
        <f aca="false">'2 Drivers'!$B$22</f>
        <v>290</v>
      </c>
      <c r="C3" s="2" t="n">
        <f aca="false">'2 Drivers'!$B$27*'2 Drivers'!$B$7</f>
        <v>184</v>
      </c>
      <c r="D3" s="2" t="s">
        <v>109</v>
      </c>
      <c r="E3" s="2" t="n">
        <f aca="false">'2 Drivers'!$B$10+'2 Drivers'!$B$12</f>
        <v>70</v>
      </c>
      <c r="F3" s="2" t="n">
        <f aca="false">C3+D3+E3</f>
        <v>254</v>
      </c>
      <c r="G3" s="2" t="n">
        <f aca="false">IF(B3=0,"n/a, this is the magnet",B3-F3)</f>
        <v>36</v>
      </c>
      <c r="H3" s="2" t="n">
        <f aca="false">D3+E3</f>
        <v>70</v>
      </c>
      <c r="I3" s="2" t="n">
        <f aca="false">IF(B3=0,"n/a",B3-H3)</f>
        <v>220</v>
      </c>
      <c r="J3" s="2" t="s">
        <v>112</v>
      </c>
    </row>
    <row r="4" customFormat="false" ht="23.85" hidden="false" customHeight="false" outlineLevel="0" collapsed="false">
      <c r="A4" s="7" t="s">
        <v>113</v>
      </c>
      <c r="B4" s="7" t="n">
        <f aca="false">'2 Drivers'!$B$23</f>
        <v>790</v>
      </c>
      <c r="C4" s="7" t="n">
        <f aca="false">('2 Drivers'!$B$28+'2 Drivers'!$B$29)*'2 Drivers'!$B$7</f>
        <v>232</v>
      </c>
      <c r="D4" s="7" t="n">
        <f aca="false">'2 Drivers'!$B$30*'2 Drivers'!$B$8</f>
        <v>140</v>
      </c>
      <c r="E4" s="7" t="n">
        <f aca="false">'2 Drivers'!$B$10+'2 Drivers'!$B$12</f>
        <v>70</v>
      </c>
      <c r="F4" s="7" t="n">
        <f aca="false">C4+D4+E4</f>
        <v>442</v>
      </c>
      <c r="G4" s="7" t="n">
        <f aca="false">IF(B4=0,"n/a, this is the magnet",B4-F4)</f>
        <v>348</v>
      </c>
      <c r="H4" s="7" t="n">
        <f aca="false">D4+E4</f>
        <v>210</v>
      </c>
      <c r="I4" s="7" t="n">
        <f aca="false">IF(B4=0,"n/a",B4-H4)</f>
        <v>580</v>
      </c>
      <c r="J4" s="7" t="s">
        <v>114</v>
      </c>
    </row>
    <row r="5" customFormat="false" ht="35.05" hidden="false" customHeight="false" outlineLevel="0" collapsed="false">
      <c r="A5" s="2" t="s">
        <v>115</v>
      </c>
      <c r="B5" s="2" t="n">
        <f aca="false">'2 Drivers'!$B$24</f>
        <v>2950</v>
      </c>
      <c r="C5" s="2" t="n">
        <f aca="false">'2 Drivers'!$B$31*'2 Drivers'!$B$7</f>
        <v>480</v>
      </c>
      <c r="D5" s="2" t="n">
        <f aca="false">'2 Drivers'!$B$32*'2 Drivers'!$B$8</f>
        <v>300</v>
      </c>
      <c r="E5" s="2" t="n">
        <f aca="false">'2 Drivers'!$B$11+'2 Drivers'!$B$12+'2 Drivers'!$B$9*'2 Drivers'!$B$33</f>
        <v>545</v>
      </c>
      <c r="F5" s="2" t="n">
        <f aca="false">C5+D5+E5</f>
        <v>1325</v>
      </c>
      <c r="G5" s="2" t="n">
        <f aca="false">IF(B5=0,"n/a, this is the magnet",B5-F5)</f>
        <v>1625</v>
      </c>
      <c r="H5" s="2" t="n">
        <f aca="false">D5+E5</f>
        <v>845</v>
      </c>
      <c r="I5" s="2" t="n">
        <f aca="false">IF(B5=0,"n/a",B5-H5)</f>
        <v>2105</v>
      </c>
      <c r="J5" s="2" t="s">
        <v>116</v>
      </c>
    </row>
    <row r="7" customFormat="false" ht="15" hidden="false" customHeight="false" outlineLevel="0" collapsed="false">
      <c r="A7" s="8" t="s">
        <v>117</v>
      </c>
      <c r="B7" s="2" t="n">
        <f aca="false">I3/B3</f>
        <v>0.758620689655172</v>
      </c>
      <c r="C7" s="2" t="n">
        <f aca="false">I4/B4</f>
        <v>0.734177215189873</v>
      </c>
      <c r="D7" s="2" t="n">
        <f aca="false">I5/B5</f>
        <v>0.713559322033898</v>
      </c>
      <c r="E7" s="2"/>
      <c r="F7" s="2"/>
      <c r="G7" s="2"/>
      <c r="H7" s="2"/>
      <c r="I7" s="2"/>
      <c r="J7" s="2"/>
    </row>
    <row r="9" customFormat="false" ht="64.15" hidden="false" customHeight="false" outlineLevel="0" collapsed="false">
      <c r="A9" s="6"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20"/>
    <col collapsed="false" customWidth="true" hidden="false" outlineLevel="0" max="6" min="5" style="0" width="16"/>
    <col collapsed="false" customWidth="true" hidden="false" outlineLevel="0" max="7" min="7" style="0" width="18"/>
    <col collapsed="false" customWidth="true" hidden="false" outlineLevel="0" max="8" min="8" style="0" width="48"/>
  </cols>
  <sheetData>
    <row r="1" customFormat="false" ht="35.05" hidden="false" customHeight="false" outlineLevel="0" collapsed="false">
      <c r="A1" s="1" t="s">
        <v>98</v>
      </c>
      <c r="B1" s="1" t="s">
        <v>119</v>
      </c>
      <c r="C1" s="1" t="s">
        <v>120</v>
      </c>
      <c r="D1" s="1" t="s">
        <v>121</v>
      </c>
      <c r="E1" s="1" t="s">
        <v>122</v>
      </c>
      <c r="F1" s="1" t="s">
        <v>123</v>
      </c>
      <c r="G1" s="1" t="s">
        <v>124</v>
      </c>
      <c r="H1" s="1" t="s">
        <v>125</v>
      </c>
    </row>
    <row r="2" customFormat="false" ht="23.85" hidden="false" customHeight="false" outlineLevel="0" collapsed="false">
      <c r="A2" s="2" t="s">
        <v>111</v>
      </c>
      <c r="B2" s="2" t="n">
        <f aca="false">'3 Unit Economics'!I3</f>
        <v>220</v>
      </c>
      <c r="C2" s="2" t="n">
        <f aca="false">'2 Drivers'!$B$36</f>
        <v>0.65</v>
      </c>
      <c r="D2" s="2" t="n">
        <f aca="false">1/(1-C2)</f>
        <v>2.85714285714286</v>
      </c>
      <c r="E2" s="2" t="n">
        <f aca="false">B2*D2</f>
        <v>628.571428571429</v>
      </c>
      <c r="F2" s="2" t="n">
        <f aca="false">'2 Drivers'!$B$39</f>
        <v>80</v>
      </c>
      <c r="G2" s="2" t="n">
        <f aca="false">E2/F2</f>
        <v>7.85714285714286</v>
      </c>
      <c r="H2" s="2" t="s">
        <v>126</v>
      </c>
    </row>
    <row r="3" customFormat="false" ht="23.85" hidden="false" customHeight="false" outlineLevel="0" collapsed="false">
      <c r="A3" s="7" t="s">
        <v>113</v>
      </c>
      <c r="B3" s="7" t="n">
        <f aca="false">'3 Unit Economics'!I4</f>
        <v>580</v>
      </c>
      <c r="C3" s="7" t="n">
        <f aca="false">'2 Drivers'!$B$37</f>
        <v>0.75</v>
      </c>
      <c r="D3" s="7" t="n">
        <f aca="false">1/(1-C3)</f>
        <v>4</v>
      </c>
      <c r="E3" s="7" t="n">
        <f aca="false">B3*D3</f>
        <v>2320</v>
      </c>
      <c r="F3" s="7" t="n">
        <f aca="false">'2 Drivers'!$B$40</f>
        <v>250</v>
      </c>
      <c r="G3" s="7" t="n">
        <f aca="false">E3/F3</f>
        <v>9.28</v>
      </c>
      <c r="H3" s="7" t="s">
        <v>127</v>
      </c>
    </row>
    <row r="4" customFormat="false" ht="23.85" hidden="false" customHeight="false" outlineLevel="0" collapsed="false">
      <c r="A4" s="2" t="s">
        <v>115</v>
      </c>
      <c r="B4" s="2" t="n">
        <f aca="false">'3 Unit Economics'!I5</f>
        <v>2105</v>
      </c>
      <c r="C4" s="2" t="n">
        <f aca="false">'2 Drivers'!$B$38</f>
        <v>0.85</v>
      </c>
      <c r="D4" s="2" t="n">
        <f aca="false">1/(1-C4)</f>
        <v>6.66666666666667</v>
      </c>
      <c r="E4" s="2" t="n">
        <f aca="false">B4*D4</f>
        <v>14033.3333333333</v>
      </c>
      <c r="F4" s="2" t="n">
        <f aca="false">'2 Drivers'!$B$41</f>
        <v>900</v>
      </c>
      <c r="G4" s="2" t="n">
        <f aca="false">E4/F4</f>
        <v>15.5925925925926</v>
      </c>
      <c r="H4" s="2" t="s">
        <v>128</v>
      </c>
    </row>
    <row r="6" customFormat="false" ht="15" hidden="false" customHeight="false" outlineLevel="0" collapsed="false">
      <c r="A6" s="8" t="s">
        <v>129</v>
      </c>
      <c r="B6" s="2" t="n">
        <f aca="false">F2/B2*12</f>
        <v>4.36363636363636</v>
      </c>
      <c r="C6" s="2" t="n">
        <f aca="false">F3/B3*12</f>
        <v>5.17241379310345</v>
      </c>
      <c r="D6" s="2" t="n">
        <f aca="false">F4/B4*12</f>
        <v>5.13064133016627</v>
      </c>
      <c r="E6" s="2"/>
      <c r="F6" s="2"/>
      <c r="G6" s="2"/>
      <c r="H6" s="2"/>
    </row>
    <row r="8" customFormat="false" ht="74.6" hidden="false" customHeight="false" outlineLevel="0" collapsed="false">
      <c r="A8" s="6" t="s">
        <v>130</v>
      </c>
    </row>
    <row r="10" customFormat="false" ht="126.85" hidden="false" customHeight="false" outlineLevel="0" collapsed="false">
      <c r="A10" s="6"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8"/>
    <col collapsed="false" customWidth="true" hidden="false" outlineLevel="0" max="4" min="4" style="0" width="60"/>
  </cols>
  <sheetData>
    <row r="1" customFormat="false" ht="15" hidden="false" customHeight="false" outlineLevel="0" collapsed="false">
      <c r="A1" s="1" t="s">
        <v>132</v>
      </c>
      <c r="B1" s="1" t="s">
        <v>133</v>
      </c>
      <c r="C1" s="1" t="s">
        <v>134</v>
      </c>
      <c r="D1" s="1" t="s">
        <v>20</v>
      </c>
    </row>
    <row r="2" customFormat="false" ht="23.85" hidden="false" customHeight="false" outlineLevel="0" collapsed="false">
      <c r="A2" s="2" t="s">
        <v>135</v>
      </c>
      <c r="B2" s="2" t="n">
        <f aca="false">'2 Drivers'!$B$45</f>
        <v>40</v>
      </c>
      <c r="C2" s="2" t="n">
        <v>380</v>
      </c>
      <c r="D2" s="2" t="s">
        <v>136</v>
      </c>
    </row>
    <row r="3" customFormat="false" ht="15" hidden="false" customHeight="false" outlineLevel="0" collapsed="false">
      <c r="A3" s="2" t="s">
        <v>137</v>
      </c>
      <c r="B3" s="2" t="n">
        <f aca="false">'2 Drivers'!$B$7</f>
        <v>80</v>
      </c>
      <c r="C3" s="2" t="n">
        <f aca="false">'2 Drivers'!$B$8</f>
        <v>200</v>
      </c>
      <c r="D3" s="2" t="s">
        <v>138</v>
      </c>
    </row>
    <row r="4" customFormat="false" ht="15" hidden="false" customHeight="false" outlineLevel="0" collapsed="false">
      <c r="A4" s="2" t="s">
        <v>139</v>
      </c>
      <c r="B4" s="2" t="n">
        <f aca="false">B2*B3</f>
        <v>3200</v>
      </c>
      <c r="C4" s="2" t="n">
        <f aca="false">C2*C3</f>
        <v>76000</v>
      </c>
      <c r="D4" s="2"/>
    </row>
    <row r="5" customFormat="false" ht="15" hidden="false" customHeight="false" outlineLevel="0" collapsed="false">
      <c r="A5" s="2" t="s">
        <v>140</v>
      </c>
      <c r="B5" s="2" t="n">
        <f aca="false">'2 Drivers'!$B$51</f>
        <v>4000</v>
      </c>
      <c r="C5" s="2" t="n">
        <f aca="false">'2 Drivers'!$B$54</f>
        <v>25000</v>
      </c>
      <c r="D5" s="2" t="s">
        <v>141</v>
      </c>
    </row>
    <row r="6" customFormat="false" ht="23.85" hidden="false" customHeight="false" outlineLevel="0" collapsed="false">
      <c r="A6" s="2" t="s">
        <v>142</v>
      </c>
      <c r="B6" s="5" t="n">
        <v>400</v>
      </c>
      <c r="C6" s="5" t="n">
        <v>45000</v>
      </c>
      <c r="D6" s="2" t="s">
        <v>143</v>
      </c>
    </row>
    <row r="7" customFormat="false" ht="15" hidden="false" customHeight="false" outlineLevel="0" collapsed="false">
      <c r="A7" s="2" t="s">
        <v>144</v>
      </c>
      <c r="B7" s="2" t="n">
        <f aca="false">B5+B6</f>
        <v>4400</v>
      </c>
      <c r="C7" s="2" t="n">
        <f aca="false">C5+C6</f>
        <v>70000</v>
      </c>
      <c r="D7" s="2"/>
    </row>
    <row r="8" customFormat="false" ht="15" hidden="false" customHeight="false" outlineLevel="0" collapsed="false">
      <c r="A8" s="7" t="s">
        <v>145</v>
      </c>
      <c r="B8" s="7" t="n">
        <f aca="false">B7-B4</f>
        <v>1200</v>
      </c>
      <c r="C8" s="7" t="n">
        <f aca="false">C7-C4</f>
        <v>-6000</v>
      </c>
      <c r="D8" s="7" t="s">
        <v>146</v>
      </c>
    </row>
    <row r="9" customFormat="false" ht="15" hidden="false" customHeight="false" outlineLevel="0" collapsed="false">
      <c r="A9" s="2" t="s">
        <v>147</v>
      </c>
      <c r="B9" s="2" t="n">
        <f aca="false">B8/B7</f>
        <v>0.272727272727273</v>
      </c>
      <c r="C9" s="2" t="n">
        <f aca="false">C8/C7</f>
        <v>-0.0857142857142857</v>
      </c>
      <c r="D9" s="2"/>
    </row>
    <row r="10" customFormat="false" ht="15" hidden="false" customHeight="false" outlineLevel="0" collapsed="false">
      <c r="A10" s="2" t="s">
        <v>148</v>
      </c>
      <c r="B10" s="2" t="n">
        <f aca="false">B4</f>
        <v>3200</v>
      </c>
      <c r="C10" s="2" t="n">
        <f aca="false">C4-C6</f>
        <v>31000</v>
      </c>
      <c r="D10" s="2" t="s">
        <v>149</v>
      </c>
    </row>
    <row r="12" customFormat="false" ht="53.7" hidden="false" customHeight="false" outlineLevel="0" collapsed="false">
      <c r="A12" s="6" t="s">
        <v>150</v>
      </c>
    </row>
    <row r="14" customFormat="false" ht="43.25" hidden="false" customHeight="false" outlineLevel="0" collapsed="false">
      <c r="A14" s="6"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8"/>
    <col collapsed="false" customWidth="true" hidden="false" outlineLevel="0" max="6" min="6" style="0" width="54"/>
  </cols>
  <sheetData>
    <row r="1" customFormat="false" ht="15" hidden="false" customHeight="false" outlineLevel="0" collapsed="false">
      <c r="A1" s="1" t="s">
        <v>132</v>
      </c>
      <c r="B1" s="1" t="s">
        <v>19</v>
      </c>
      <c r="C1" s="1"/>
      <c r="D1" s="1"/>
      <c r="E1" s="1"/>
      <c r="F1" s="1" t="s">
        <v>20</v>
      </c>
    </row>
    <row r="2" customFormat="false" ht="15" hidden="false" customHeight="false" outlineLevel="0" collapsed="false">
      <c r="A2" s="2" t="s">
        <v>81</v>
      </c>
      <c r="B2" s="2" t="n">
        <f aca="false">'2 Drivers'!$B$45</f>
        <v>40</v>
      </c>
      <c r="C2" s="2"/>
      <c r="D2" s="2"/>
      <c r="E2" s="2"/>
      <c r="F2" s="2" t="s">
        <v>82</v>
      </c>
    </row>
    <row r="3" customFormat="false" ht="15" hidden="false" customHeight="false" outlineLevel="0" collapsed="false">
      <c r="A3" s="2" t="s">
        <v>83</v>
      </c>
      <c r="B3" s="2" t="n">
        <f aca="false">'2 Drivers'!$B$46</f>
        <v>0.5</v>
      </c>
      <c r="C3" s="2"/>
      <c r="D3" s="2"/>
      <c r="E3" s="2"/>
      <c r="F3" s="2" t="s">
        <v>152</v>
      </c>
    </row>
    <row r="4" customFormat="false" ht="15" hidden="false" customHeight="false" outlineLevel="0" collapsed="false">
      <c r="A4" s="2" t="s">
        <v>153</v>
      </c>
      <c r="B4" s="2" t="n">
        <f aca="false">B2*B3</f>
        <v>20</v>
      </c>
      <c r="C4" s="2"/>
      <c r="D4" s="2"/>
      <c r="E4" s="2"/>
      <c r="F4" s="2" t="s">
        <v>29</v>
      </c>
    </row>
    <row r="5" customFormat="false" ht="15" hidden="false" customHeight="false" outlineLevel="0" collapsed="false">
      <c r="A5" s="2" t="s">
        <v>154</v>
      </c>
      <c r="B5" s="2" t="n">
        <f aca="false">'2 Drivers'!$B$48</f>
        <v>2.3</v>
      </c>
      <c r="C5" s="2"/>
      <c r="D5" s="2"/>
      <c r="E5" s="2"/>
      <c r="F5" s="2" t="s">
        <v>155</v>
      </c>
    </row>
    <row r="7" customFormat="false" ht="15" hidden="false" customHeight="false" outlineLevel="0" collapsed="false">
      <c r="A7" s="3" t="s">
        <v>156</v>
      </c>
      <c r="B7" s="4"/>
      <c r="C7" s="4"/>
      <c r="D7" s="4"/>
      <c r="E7" s="4"/>
      <c r="F7" s="4"/>
    </row>
    <row r="8" customFormat="false" ht="35.05" hidden="false" customHeight="false" outlineLevel="0" collapsed="false">
      <c r="A8" s="1" t="s">
        <v>157</v>
      </c>
      <c r="B8" s="1" t="s">
        <v>158</v>
      </c>
      <c r="C8" s="1" t="s">
        <v>159</v>
      </c>
      <c r="D8" s="1" t="s">
        <v>160</v>
      </c>
      <c r="E8" s="1" t="s">
        <v>161</v>
      </c>
      <c r="F8" s="1" t="s">
        <v>20</v>
      </c>
    </row>
    <row r="9" customFormat="false" ht="15" hidden="false" customHeight="false" outlineLevel="0" collapsed="false">
      <c r="A9" s="7" t="n">
        <v>4</v>
      </c>
      <c r="B9" s="7" t="n">
        <f aca="false">A9*$B$4</f>
        <v>80</v>
      </c>
      <c r="C9" s="7" t="n">
        <f aca="false">B9/$B$5</f>
        <v>34.7826086956522</v>
      </c>
      <c r="D9" s="7" t="n">
        <f aca="false">C9*784.2</f>
        <v>27276.5217391304</v>
      </c>
      <c r="E9" s="7" t="n">
        <f aca="false">D9*5</f>
        <v>136382.608695652</v>
      </c>
      <c r="F9" s="7" t="s">
        <v>162</v>
      </c>
    </row>
    <row r="10" customFormat="false" ht="15" hidden="false" customHeight="false" outlineLevel="0" collapsed="false">
      <c r="A10" s="2" t="n">
        <v>6</v>
      </c>
      <c r="B10" s="2" t="n">
        <f aca="false">A10*$B$4</f>
        <v>120</v>
      </c>
      <c r="C10" s="2" t="n">
        <f aca="false">B10/$B$5</f>
        <v>52.1739130434783</v>
      </c>
      <c r="D10" s="2" t="n">
        <f aca="false">C10*784.2</f>
        <v>40914.7826086957</v>
      </c>
      <c r="E10" s="2" t="n">
        <f aca="false">D10*5</f>
        <v>204573.913043478</v>
      </c>
      <c r="F10" s="2" t="s">
        <v>163</v>
      </c>
    </row>
    <row r="11" customFormat="false" ht="15" hidden="false" customHeight="false" outlineLevel="0" collapsed="false">
      <c r="A11" s="2" t="n">
        <v>8</v>
      </c>
      <c r="B11" s="2" t="n">
        <f aca="false">A11*$B$4</f>
        <v>160</v>
      </c>
      <c r="C11" s="2" t="n">
        <f aca="false">B11/$B$5</f>
        <v>69.5652173913044</v>
      </c>
      <c r="D11" s="2" t="n">
        <f aca="false">C11*784.2</f>
        <v>54553.0434782609</v>
      </c>
      <c r="E11" s="2" t="n">
        <f aca="false">D11*5</f>
        <v>272765.217391304</v>
      </c>
      <c r="F11" s="2" t="s">
        <v>164</v>
      </c>
    </row>
    <row r="12" customFormat="false" ht="15" hidden="false" customHeight="false" outlineLevel="0" collapsed="false">
      <c r="A12" s="2" t="n">
        <v>12</v>
      </c>
      <c r="B12" s="2" t="n">
        <f aca="false">A12*$B$4</f>
        <v>240</v>
      </c>
      <c r="C12" s="2" t="n">
        <f aca="false">B12/$B$5</f>
        <v>104.347826086957</v>
      </c>
      <c r="D12" s="2" t="n">
        <f aca="false">C12*784.2</f>
        <v>81829.5652173913</v>
      </c>
      <c r="E12" s="2" t="n">
        <f aca="false">D12*5</f>
        <v>409147.826086957</v>
      </c>
      <c r="F12" s="2" t="s">
        <v>165</v>
      </c>
    </row>
    <row r="14" customFormat="false" ht="15" hidden="false" customHeight="false" outlineLevel="0" collapsed="false">
      <c r="A14" s="2" t="s">
        <v>166</v>
      </c>
      <c r="B14" s="5" t="n">
        <v>784.2</v>
      </c>
      <c r="C14" s="2"/>
      <c r="D14" s="2"/>
      <c r="E14" s="2"/>
      <c r="F14" s="2" t="s">
        <v>167</v>
      </c>
    </row>
    <row r="16" customFormat="false" ht="53.7" hidden="false" customHeight="false" outlineLevel="0" collapsed="false">
      <c r="A16" s="6" t="s">
        <v>168</v>
      </c>
    </row>
    <row r="18" customFormat="false" ht="64.15" hidden="false" customHeight="false" outlineLevel="0" collapsed="false">
      <c r="A18" s="6" t="s">
        <v>169</v>
      </c>
    </row>
    <row r="20" customFormat="false" ht="43.25" hidden="false" customHeight="false" outlineLevel="0" collapsed="false">
      <c r="A20" s="6"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5"/>
    <col collapsed="false" customWidth="true" hidden="false" outlineLevel="0" max="5" min="5" style="0" width="58"/>
  </cols>
  <sheetData>
    <row r="1" customFormat="false" ht="15" hidden="false" customHeight="false" outlineLevel="0" collapsed="false">
      <c r="A1" s="1" t="s">
        <v>132</v>
      </c>
      <c r="B1" s="1" t="s">
        <v>171</v>
      </c>
      <c r="C1" s="1" t="s">
        <v>172</v>
      </c>
      <c r="D1" s="1" t="s">
        <v>173</v>
      </c>
      <c r="E1" s="1" t="s">
        <v>20</v>
      </c>
    </row>
    <row r="2" customFormat="false" ht="15" hidden="false" customHeight="false" outlineLevel="0" collapsed="false">
      <c r="A2" s="3" t="s">
        <v>174</v>
      </c>
      <c r="B2" s="4"/>
      <c r="C2" s="4"/>
      <c r="D2" s="4"/>
      <c r="E2" s="4"/>
    </row>
    <row r="3" customFormat="false" ht="15" hidden="false" customHeight="false" outlineLevel="0" collapsed="false">
      <c r="A3" s="2" t="s">
        <v>175</v>
      </c>
      <c r="B3" s="5" t="n">
        <v>3</v>
      </c>
      <c r="C3" s="5" t="n">
        <v>5</v>
      </c>
      <c r="D3" s="5" t="n">
        <v>5</v>
      </c>
      <c r="E3" s="2" t="s">
        <v>176</v>
      </c>
    </row>
    <row r="4" customFormat="false" ht="15" hidden="false" customHeight="false" outlineLevel="0" collapsed="false">
      <c r="A4" s="2" t="s">
        <v>177</v>
      </c>
      <c r="B4" s="5" t="n">
        <v>12</v>
      </c>
      <c r="C4" s="5" t="n">
        <v>20</v>
      </c>
      <c r="D4" s="5" t="n">
        <v>24</v>
      </c>
      <c r="E4" s="2" t="s">
        <v>178</v>
      </c>
    </row>
    <row r="5" customFormat="false" ht="15" hidden="false" customHeight="false" outlineLevel="0" collapsed="false">
      <c r="A5" s="2" t="s">
        <v>179</v>
      </c>
      <c r="B5" s="5" t="n">
        <v>1</v>
      </c>
      <c r="C5" s="5" t="n">
        <v>2</v>
      </c>
      <c r="D5" s="5" t="n">
        <v>2</v>
      </c>
      <c r="E5" s="2" t="s">
        <v>180</v>
      </c>
    </row>
    <row r="6" customFormat="false" ht="15" hidden="false" customHeight="false" outlineLevel="0" collapsed="false">
      <c r="A6" s="3" t="s">
        <v>181</v>
      </c>
      <c r="B6" s="4"/>
      <c r="C6" s="4"/>
      <c r="D6" s="4"/>
      <c r="E6" s="4"/>
    </row>
    <row r="7" customFormat="false" ht="15" hidden="false" customHeight="false" outlineLevel="0" collapsed="false">
      <c r="A7" s="2" t="s">
        <v>182</v>
      </c>
      <c r="B7" s="5" t="n">
        <v>90</v>
      </c>
      <c r="C7" s="5" t="n">
        <v>200</v>
      </c>
      <c r="D7" s="5" t="n">
        <v>280</v>
      </c>
      <c r="E7" s="2" t="s">
        <v>183</v>
      </c>
    </row>
    <row r="8" customFormat="false" ht="15" hidden="false" customHeight="false" outlineLevel="0" collapsed="false">
      <c r="A8" s="2" t="s">
        <v>111</v>
      </c>
      <c r="B8" s="5" t="n">
        <v>45</v>
      </c>
      <c r="C8" s="5" t="n">
        <v>80</v>
      </c>
      <c r="D8" s="5" t="n">
        <v>95</v>
      </c>
      <c r="E8" s="2"/>
    </row>
    <row r="9" customFormat="false" ht="15" hidden="false" customHeight="false" outlineLevel="0" collapsed="false">
      <c r="A9" s="2" t="s">
        <v>113</v>
      </c>
      <c r="B9" s="5" t="n">
        <v>30</v>
      </c>
      <c r="C9" s="5" t="n">
        <v>52</v>
      </c>
      <c r="D9" s="5" t="n">
        <v>64</v>
      </c>
      <c r="E9" s="2" t="s">
        <v>184</v>
      </c>
    </row>
    <row r="10" customFormat="false" ht="15" hidden="false" customHeight="false" outlineLevel="0" collapsed="false">
      <c r="A10" s="2" t="s">
        <v>115</v>
      </c>
      <c r="B10" s="5" t="n">
        <v>8</v>
      </c>
      <c r="C10" s="5" t="n">
        <v>18</v>
      </c>
      <c r="D10" s="5" t="n">
        <v>21</v>
      </c>
      <c r="E10" s="2"/>
    </row>
    <row r="11" customFormat="false" ht="15" hidden="false" customHeight="false" outlineLevel="0" collapsed="false">
      <c r="A11" s="2" t="s">
        <v>185</v>
      </c>
      <c r="B11" s="2" t="n">
        <f aca="false">SUM(B8:B10)</f>
        <v>83</v>
      </c>
      <c r="C11" s="2" t="n">
        <f aca="false">SUM(C8:C10)</f>
        <v>150</v>
      </c>
      <c r="D11" s="2" t="n">
        <f aca="false">SUM(D8:D10)</f>
        <v>180</v>
      </c>
      <c r="E11" s="2"/>
    </row>
    <row r="12" customFormat="false" ht="15" hidden="false" customHeight="false" outlineLevel="0" collapsed="false">
      <c r="A12" s="2" t="s">
        <v>186</v>
      </c>
      <c r="B12" s="2" t="n">
        <f aca="false">B4*'2 Drivers'!$B$47/'2 Drivers'!$B$48</f>
        <v>104.347826086957</v>
      </c>
      <c r="C12" s="2" t="n">
        <f aca="false">C4*'2 Drivers'!$B$47/'2 Drivers'!$B$48</f>
        <v>173.913043478261</v>
      </c>
      <c r="D12" s="2" t="n">
        <f aca="false">D4*'2 Drivers'!$B$47/'2 Drivers'!$B$48</f>
        <v>208.695652173913</v>
      </c>
      <c r="E12" s="2" t="s">
        <v>187</v>
      </c>
    </row>
    <row r="13" customFormat="false" ht="23.85" hidden="false" customHeight="false" outlineLevel="0" collapsed="false">
      <c r="A13" s="7" t="s">
        <v>188</v>
      </c>
      <c r="B13" s="7" t="n">
        <f aca="false">B11/B12</f>
        <v>0.795416666666667</v>
      </c>
      <c r="C13" s="7" t="n">
        <f aca="false">C11/C12</f>
        <v>0.8625</v>
      </c>
      <c r="D13" s="7" t="n">
        <f aca="false">D11/D12</f>
        <v>0.8625</v>
      </c>
      <c r="E13" s="7" t="s">
        <v>189</v>
      </c>
    </row>
    <row r="14" customFormat="false" ht="15" hidden="false" customHeight="false" outlineLevel="0" collapsed="false">
      <c r="A14" s="3" t="s">
        <v>190</v>
      </c>
      <c r="B14" s="4"/>
      <c r="C14" s="4"/>
      <c r="D14" s="4"/>
      <c r="E14" s="4"/>
    </row>
    <row r="15" customFormat="false" ht="15" hidden="false" customHeight="false" outlineLevel="0" collapsed="false">
      <c r="A15" s="2" t="s">
        <v>191</v>
      </c>
      <c r="B15" s="2" t="n">
        <f aca="false">B8*'2 Drivers'!$B$22+B9*'2 Drivers'!$B$23+B10*'2 Drivers'!$B$24</f>
        <v>60350</v>
      </c>
      <c r="C15" s="2" t="n">
        <f aca="false">C8*'2 Drivers'!$B$22+C9*'2 Drivers'!$B$23+C10*'2 Drivers'!$B$24</f>
        <v>117380</v>
      </c>
      <c r="D15" s="2" t="n">
        <f aca="false">D8*'2 Drivers'!$B$22+D9*'2 Drivers'!$B$23+D10*'2 Drivers'!$B$24</f>
        <v>140060</v>
      </c>
      <c r="E15" s="2"/>
    </row>
    <row r="16" customFormat="false" ht="15" hidden="false" customHeight="false" outlineLevel="0" collapsed="false">
      <c r="A16" s="2" t="s">
        <v>192</v>
      </c>
      <c r="B16" s="5" t="n">
        <v>0.6</v>
      </c>
      <c r="C16" s="5" t="n">
        <v>0.8</v>
      </c>
      <c r="D16" s="5" t="n">
        <v>0.9</v>
      </c>
      <c r="E16" s="2" t="s">
        <v>193</v>
      </c>
    </row>
    <row r="17" customFormat="false" ht="15" hidden="false" customHeight="false" outlineLevel="0" collapsed="false">
      <c r="A17" s="2" t="s">
        <v>194</v>
      </c>
      <c r="B17" s="2" t="n">
        <f aca="false">B4*'2 Drivers'!$B$51*B16</f>
        <v>28800</v>
      </c>
      <c r="C17" s="2" t="n">
        <f aca="false">C4*'2 Drivers'!$B$51*C16</f>
        <v>64000</v>
      </c>
      <c r="D17" s="2" t="n">
        <f aca="false">D4*'2 Drivers'!$B$51*D16</f>
        <v>86400</v>
      </c>
      <c r="E17" s="2"/>
    </row>
    <row r="18" customFormat="false" ht="15" hidden="false" customHeight="false" outlineLevel="0" collapsed="false">
      <c r="A18" s="2" t="s">
        <v>195</v>
      </c>
      <c r="B18" s="5" t="n">
        <v>1</v>
      </c>
      <c r="C18" s="5" t="n">
        <v>1</v>
      </c>
      <c r="D18" s="5" t="n">
        <v>2</v>
      </c>
      <c r="E18" s="2"/>
    </row>
    <row r="19" customFormat="false" ht="15" hidden="false" customHeight="false" outlineLevel="0" collapsed="false">
      <c r="A19" s="2" t="s">
        <v>196</v>
      </c>
      <c r="B19" s="2" t="n">
        <f aca="false">B18*'2 Drivers'!$B$52</f>
        <v>35000</v>
      </c>
      <c r="C19" s="2" t="n">
        <f aca="false">C18*'2 Drivers'!$B$52</f>
        <v>35000</v>
      </c>
      <c r="D19" s="2" t="n">
        <f aca="false">D18*'2 Drivers'!$B$52</f>
        <v>70000</v>
      </c>
      <c r="E19" s="2"/>
    </row>
    <row r="20" customFormat="false" ht="15" hidden="false" customHeight="false" outlineLevel="0" collapsed="false">
      <c r="A20" s="2" t="s">
        <v>197</v>
      </c>
      <c r="B20" s="5" t="n">
        <v>1</v>
      </c>
      <c r="C20" s="5" t="n">
        <v>3</v>
      </c>
      <c r="D20" s="5" t="n">
        <v>5</v>
      </c>
      <c r="E20" s="2" t="s">
        <v>198</v>
      </c>
    </row>
    <row r="21" customFormat="false" ht="15" hidden="false" customHeight="false" outlineLevel="0" collapsed="false">
      <c r="A21" s="2" t="s">
        <v>199</v>
      </c>
      <c r="B21" s="2" t="n">
        <f aca="false">B20*'2 Drivers'!$B$53</f>
        <v>15000</v>
      </c>
      <c r="C21" s="2" t="n">
        <f aca="false">C20*'2 Drivers'!$B$53</f>
        <v>45000</v>
      </c>
      <c r="D21" s="2" t="n">
        <f aca="false">D20*'2 Drivers'!$B$53</f>
        <v>75000</v>
      </c>
      <c r="E21" s="2"/>
    </row>
    <row r="22" customFormat="false" ht="15" hidden="false" customHeight="false" outlineLevel="0" collapsed="false">
      <c r="A22" s="2" t="s">
        <v>200</v>
      </c>
      <c r="B22" s="2" t="n">
        <f aca="false">B5*'2 Drivers'!$B$54</f>
        <v>25000</v>
      </c>
      <c r="C22" s="2" t="n">
        <f aca="false">C5*'2 Drivers'!$B$54</f>
        <v>50000</v>
      </c>
      <c r="D22" s="2" t="n">
        <f aca="false">D5*'2 Drivers'!$B$54</f>
        <v>50000</v>
      </c>
      <c r="E22" s="2"/>
    </row>
    <row r="23" customFormat="false" ht="15" hidden="false" customHeight="false" outlineLevel="0" collapsed="false">
      <c r="A23" s="2" t="s">
        <v>201</v>
      </c>
      <c r="B23" s="5" t="n">
        <v>35000</v>
      </c>
      <c r="C23" s="5" t="n">
        <v>90000</v>
      </c>
      <c r="D23" s="5" t="n">
        <v>110000</v>
      </c>
      <c r="E23" s="2" t="s">
        <v>202</v>
      </c>
    </row>
    <row r="24" customFormat="false" ht="23.85" hidden="false" customHeight="false" outlineLevel="0" collapsed="false">
      <c r="A24" s="2" t="s">
        <v>203</v>
      </c>
      <c r="B24" s="5" t="n">
        <v>8000</v>
      </c>
      <c r="C24" s="5" t="n">
        <v>22000</v>
      </c>
      <c r="D24" s="5" t="n">
        <v>30000</v>
      </c>
      <c r="E24" s="2"/>
    </row>
    <row r="25" customFormat="false" ht="15" hidden="false" customHeight="false" outlineLevel="0" collapsed="false">
      <c r="A25" s="7" t="s">
        <v>204</v>
      </c>
      <c r="B25" s="7" t="n">
        <f aca="false">B15+B17+B19+B21+B22+B23+B24</f>
        <v>207150</v>
      </c>
      <c r="C25" s="7" t="n">
        <f aca="false">C15+C17+C19+C21+C22+C23+C24</f>
        <v>423380</v>
      </c>
      <c r="D25" s="7" t="n">
        <f aca="false">D15+D17+D19+D21+D22+D23+D24</f>
        <v>561460</v>
      </c>
      <c r="E25" s="7"/>
    </row>
    <row r="26" customFormat="false" ht="15" hidden="false" customHeight="false" outlineLevel="0" collapsed="false">
      <c r="A26" s="3" t="s">
        <v>205</v>
      </c>
      <c r="B26" s="4"/>
      <c r="C26" s="4"/>
      <c r="D26" s="4"/>
      <c r="E26" s="4"/>
    </row>
    <row r="27" customFormat="false" ht="15" hidden="false" customHeight="false" outlineLevel="0" collapsed="false">
      <c r="A27" s="2" t="s">
        <v>206</v>
      </c>
      <c r="B27" s="2" t="n">
        <f aca="false">B4*'2 Drivers'!$B$45*'2 Drivers'!$B$7</f>
        <v>38400</v>
      </c>
      <c r="C27" s="2" t="n">
        <f aca="false">C4*'2 Drivers'!$B$45*'2 Drivers'!$B$7</f>
        <v>64000</v>
      </c>
      <c r="D27" s="2" t="n">
        <f aca="false">D4*'2 Drivers'!$B$45*'2 Drivers'!$B$7</f>
        <v>76800</v>
      </c>
      <c r="E27" s="2"/>
    </row>
    <row r="28" customFormat="false" ht="15" hidden="false" customHeight="false" outlineLevel="0" collapsed="false">
      <c r="A28" s="2" t="s">
        <v>207</v>
      </c>
      <c r="B28" s="5" t="n">
        <v>180</v>
      </c>
      <c r="C28" s="5" t="n">
        <v>380</v>
      </c>
      <c r="D28" s="5" t="n">
        <v>450</v>
      </c>
      <c r="E28" s="2"/>
    </row>
    <row r="29" customFormat="false" ht="15" hidden="false" customHeight="false" outlineLevel="0" collapsed="false">
      <c r="A29" s="2" t="s">
        <v>208</v>
      </c>
      <c r="B29" s="2" t="n">
        <f aca="false">B28*'2 Drivers'!$B$8</f>
        <v>36000</v>
      </c>
      <c r="C29" s="2" t="n">
        <f aca="false">C28*'2 Drivers'!$B$8</f>
        <v>76000</v>
      </c>
      <c r="D29" s="2" t="n">
        <f aca="false">D28*'2 Drivers'!$B$8</f>
        <v>90000</v>
      </c>
      <c r="E29" s="2"/>
    </row>
    <row r="30" customFormat="false" ht="15" hidden="false" customHeight="false" outlineLevel="0" collapsed="false">
      <c r="A30" s="2" t="s">
        <v>209</v>
      </c>
      <c r="B30" s="2" t="n">
        <f aca="false">(B8+B9)*'2 Drivers'!$B$10+B10*'2 Drivers'!$B$11</f>
        <v>4335</v>
      </c>
      <c r="C30" s="2" t="n">
        <f aca="false">(C8+C9)*'2 Drivers'!$B$10+C10*'2 Drivers'!$B$11</f>
        <v>8100</v>
      </c>
      <c r="D30" s="2" t="n">
        <f aca="false">(D8+D9)*'2 Drivers'!$B$10+D10*'2 Drivers'!$B$11</f>
        <v>9675</v>
      </c>
      <c r="E30" s="2"/>
    </row>
    <row r="31" customFormat="false" ht="15" hidden="false" customHeight="false" outlineLevel="0" collapsed="false">
      <c r="A31" s="2" t="s">
        <v>210</v>
      </c>
      <c r="B31" s="2" t="n">
        <f aca="false">(B7+B11)*'2 Drivers'!$B$12</f>
        <v>4325</v>
      </c>
      <c r="C31" s="2" t="n">
        <f aca="false">(C7+C11)*'2 Drivers'!$B$12</f>
        <v>8750</v>
      </c>
      <c r="D31" s="2" t="n">
        <f aca="false">(D7+D11)*'2 Drivers'!$B$12</f>
        <v>11500</v>
      </c>
      <c r="E31" s="2" t="s">
        <v>211</v>
      </c>
    </row>
    <row r="32" customFormat="false" ht="15" hidden="false" customHeight="false" outlineLevel="0" collapsed="false">
      <c r="A32" s="2" t="s">
        <v>212</v>
      </c>
      <c r="B32" s="2" t="n">
        <f aca="false">'2 Drivers'!$B$13*'2 Drivers'!$B$14</f>
        <v>1200</v>
      </c>
      <c r="C32" s="2" t="n">
        <f aca="false">'2 Drivers'!$B$13*'2 Drivers'!$B$14</f>
        <v>1200</v>
      </c>
      <c r="D32" s="2" t="n">
        <f aca="false">'2 Drivers'!$B$13*'2 Drivers'!$B$14</f>
        <v>1200</v>
      </c>
      <c r="E32" s="2" t="s">
        <v>213</v>
      </c>
    </row>
    <row r="33" customFormat="false" ht="15" hidden="false" customHeight="false" outlineLevel="0" collapsed="false">
      <c r="A33" s="2" t="s">
        <v>214</v>
      </c>
      <c r="B33" s="5" t="n">
        <v>83</v>
      </c>
      <c r="C33" s="5" t="n">
        <v>95</v>
      </c>
      <c r="D33" s="5" t="n">
        <v>75</v>
      </c>
      <c r="E33" s="2" t="s">
        <v>215</v>
      </c>
    </row>
    <row r="34" customFormat="false" ht="15" hidden="false" customHeight="false" outlineLevel="0" collapsed="false">
      <c r="A34" s="2" t="s">
        <v>216</v>
      </c>
      <c r="B34" s="2" t="n">
        <f aca="false">B33*'2 Drivers'!$B$42</f>
        <v>18260</v>
      </c>
      <c r="C34" s="2" t="n">
        <f aca="false">C33*'2 Drivers'!$B$42</f>
        <v>20900</v>
      </c>
      <c r="D34" s="2" t="n">
        <f aca="false">D33*'2 Drivers'!$B$42</f>
        <v>16500</v>
      </c>
      <c r="E34" s="2"/>
    </row>
    <row r="35" customFormat="false" ht="15" hidden="false" customHeight="false" outlineLevel="0" collapsed="false">
      <c r="A35" s="2" t="s">
        <v>217</v>
      </c>
      <c r="B35" s="5" t="n">
        <v>35000</v>
      </c>
      <c r="C35" s="5" t="n">
        <v>62000</v>
      </c>
      <c r="D35" s="5" t="n">
        <v>78000</v>
      </c>
      <c r="E35" s="2" t="s">
        <v>218</v>
      </c>
    </row>
    <row r="36" customFormat="false" ht="15" hidden="false" customHeight="false" outlineLevel="0" collapsed="false">
      <c r="A36" s="2" t="s">
        <v>219</v>
      </c>
      <c r="B36" s="5" t="n">
        <v>0</v>
      </c>
      <c r="C36" s="5" t="n">
        <v>60000</v>
      </c>
      <c r="D36" s="5" t="n">
        <v>130000</v>
      </c>
      <c r="E36" s="2" t="s">
        <v>220</v>
      </c>
    </row>
    <row r="37" customFormat="false" ht="15" hidden="false" customHeight="false" outlineLevel="0" collapsed="false">
      <c r="A37" s="7" t="s">
        <v>221</v>
      </c>
      <c r="B37" s="7" t="n">
        <f aca="false">B27+B29+B30+B31+B32+B34+B35+B36</f>
        <v>137520</v>
      </c>
      <c r="C37" s="7" t="n">
        <f aca="false">C27+C29+C30+C31+C32+C34+C35+C36</f>
        <v>300950</v>
      </c>
      <c r="D37" s="7" t="n">
        <f aca="false">D27+D29+D30+D31+D32+D34+D35+D36</f>
        <v>413675</v>
      </c>
      <c r="E37" s="7"/>
    </row>
    <row r="38" customFormat="false" ht="15" hidden="false" customHeight="false" outlineLevel="0" collapsed="false">
      <c r="A38" s="3" t="s">
        <v>222</v>
      </c>
      <c r="B38" s="4"/>
      <c r="C38" s="4"/>
      <c r="D38" s="4"/>
      <c r="E38" s="4"/>
    </row>
    <row r="39" customFormat="false" ht="15" hidden="false" customHeight="false" outlineLevel="0" collapsed="false">
      <c r="A39" s="2" t="s">
        <v>223</v>
      </c>
      <c r="B39" s="2" t="n">
        <f aca="false">B25-B37+B36</f>
        <v>69630</v>
      </c>
      <c r="C39" s="2" t="n">
        <f aca="false">C25-C37+C36</f>
        <v>182430</v>
      </c>
      <c r="D39" s="2" t="n">
        <f aca="false">D25-D37+D36</f>
        <v>277785</v>
      </c>
      <c r="E39" s="2"/>
    </row>
    <row r="40" customFormat="false" ht="15" hidden="false" customHeight="false" outlineLevel="0" collapsed="false">
      <c r="A40" s="7" t="s">
        <v>224</v>
      </c>
      <c r="B40" s="7" t="n">
        <f aca="false">B25-B37</f>
        <v>69630</v>
      </c>
      <c r="C40" s="7" t="n">
        <f aca="false">C25-C37</f>
        <v>122430</v>
      </c>
      <c r="D40" s="7" t="n">
        <f aca="false">D25-D37</f>
        <v>147785</v>
      </c>
      <c r="E40" s="7"/>
    </row>
    <row r="41" customFormat="false" ht="15" hidden="false" customHeight="false" outlineLevel="0" collapsed="false">
      <c r="A41" s="2" t="s">
        <v>225</v>
      </c>
      <c r="B41" s="2" t="n">
        <f aca="false">B40/B25</f>
        <v>0.336133236784938</v>
      </c>
      <c r="C41" s="2" t="n">
        <f aca="false">C40/C25</f>
        <v>0.289172847087723</v>
      </c>
      <c r="D41" s="2" t="n">
        <f aca="false">D40/D25</f>
        <v>0.263215545185766</v>
      </c>
      <c r="E41" s="2" t="s">
        <v>226</v>
      </c>
    </row>
    <row r="42" customFormat="false" ht="23.85" hidden="false" customHeight="false" outlineLevel="0" collapsed="false">
      <c r="A42" s="2" t="s">
        <v>227</v>
      </c>
      <c r="B42" s="2" t="n">
        <f aca="false">B25/B11</f>
        <v>2495.78313253012</v>
      </c>
      <c r="C42" s="2" t="n">
        <f aca="false">C25/C11</f>
        <v>2822.53333333333</v>
      </c>
      <c r="D42" s="2" t="n">
        <f aca="false">D25/D11</f>
        <v>3119.22222222222</v>
      </c>
      <c r="E42" s="2" t="s">
        <v>228</v>
      </c>
    </row>
    <row r="43" customFormat="false" ht="15" hidden="false" customHeight="false" outlineLevel="0" collapsed="false">
      <c r="A43" s="2" t="s">
        <v>229</v>
      </c>
      <c r="B43" s="2" t="n">
        <f aca="false">B15/B25</f>
        <v>0.291334781559257</v>
      </c>
      <c r="C43" s="2" t="n">
        <f aca="false">C15/C25</f>
        <v>0.277245028107138</v>
      </c>
      <c r="D43" s="2" t="n">
        <f aca="false">D15/D25</f>
        <v>0.249456773412175</v>
      </c>
      <c r="E43" s="2" t="s">
        <v>230</v>
      </c>
    </row>
    <row r="44" customFormat="false" ht="15" hidden="false" customHeight="false" outlineLevel="0" collapsed="false">
      <c r="A44" s="7" t="s">
        <v>231</v>
      </c>
      <c r="B44" s="7" t="n">
        <f aca="false">(B17+B19+B21+B22)/B25</f>
        <v>0.501086169442433</v>
      </c>
      <c r="C44" s="7" t="n">
        <f aca="false">(C17+C19+C21+C22)/C25</f>
        <v>0.458217204402664</v>
      </c>
      <c r="D44" s="7" t="n">
        <f aca="false">(D17+D19+D21+D22)/D25</f>
        <v>0.501193317422434</v>
      </c>
      <c r="E44" s="7" t="s">
        <v>232</v>
      </c>
    </row>
    <row r="46" customFormat="false" ht="53.7" hidden="false" customHeight="false" outlineLevel="0" collapsed="false">
      <c r="A46" s="6"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7"/>
    <col collapsed="false" customWidth="true" hidden="false" outlineLevel="0" max="5" min="5" style="0" width="52"/>
  </cols>
  <sheetData>
    <row r="1" customFormat="false" ht="15" hidden="false" customHeight="false" outlineLevel="0" collapsed="false">
      <c r="A1" s="1" t="s">
        <v>234</v>
      </c>
      <c r="B1" s="1" t="s">
        <v>235</v>
      </c>
      <c r="C1" s="1" t="s">
        <v>236</v>
      </c>
      <c r="D1" s="1" t="s">
        <v>237</v>
      </c>
      <c r="E1" s="1" t="s">
        <v>20</v>
      </c>
    </row>
    <row r="2" customFormat="false" ht="15" hidden="false" customHeight="false" outlineLevel="0" collapsed="false">
      <c r="A2" s="2" t="s">
        <v>238</v>
      </c>
      <c r="B2" s="5" t="n">
        <v>0.25</v>
      </c>
      <c r="C2" s="5" t="n">
        <v>0.5</v>
      </c>
      <c r="D2" s="5" t="n">
        <v>0.75</v>
      </c>
      <c r="E2" s="2" t="s">
        <v>239</v>
      </c>
    </row>
    <row r="3" customFormat="false" ht="15" hidden="false" customHeight="false" outlineLevel="0" collapsed="false">
      <c r="A3" s="2" t="s">
        <v>28</v>
      </c>
      <c r="B3" s="2" t="n">
        <f aca="false">105*(1-B2)+55*B2</f>
        <v>92.5</v>
      </c>
      <c r="C3" s="2" t="n">
        <f aca="false">105*(1-C2)+55*C2</f>
        <v>80</v>
      </c>
      <c r="D3" s="2" t="n">
        <f aca="false">105*(1-D2)+55*D2</f>
        <v>67.5</v>
      </c>
      <c r="E3" s="2" t="s">
        <v>29</v>
      </c>
    </row>
    <row r="4" customFormat="false" ht="15" hidden="false" customHeight="false" outlineLevel="0" collapsed="false">
      <c r="A4" s="2" t="s">
        <v>192</v>
      </c>
      <c r="B4" s="5" t="n">
        <v>0.5</v>
      </c>
      <c r="C4" s="5" t="n">
        <v>0.8</v>
      </c>
      <c r="D4" s="5" t="n">
        <v>1</v>
      </c>
      <c r="E4" s="2" t="s">
        <v>240</v>
      </c>
    </row>
    <row r="5" customFormat="false" ht="15" hidden="false" customHeight="false" outlineLevel="0" collapsed="false">
      <c r="A5" s="2" t="s">
        <v>241</v>
      </c>
      <c r="B5" s="5" t="n">
        <v>100</v>
      </c>
      <c r="C5" s="5" t="n">
        <v>150</v>
      </c>
      <c r="D5" s="5" t="n">
        <v>180</v>
      </c>
      <c r="E5" s="2" t="s">
        <v>242</v>
      </c>
    </row>
    <row r="6" customFormat="false" ht="15" hidden="false" customHeight="false" outlineLevel="0" collapsed="false">
      <c r="A6" s="2" t="s">
        <v>197</v>
      </c>
      <c r="B6" s="5" t="n">
        <v>1</v>
      </c>
      <c r="C6" s="5" t="n">
        <v>3</v>
      </c>
      <c r="D6" s="5" t="n">
        <v>5</v>
      </c>
      <c r="E6" s="2" t="s">
        <v>243</v>
      </c>
    </row>
    <row r="7" customFormat="false" ht="15" hidden="false" customHeight="false" outlineLevel="0" collapsed="false">
      <c r="A7" s="2" t="s">
        <v>201</v>
      </c>
      <c r="B7" s="5" t="n">
        <v>55000</v>
      </c>
      <c r="C7" s="5" t="n">
        <v>90000</v>
      </c>
      <c r="D7" s="5" t="n">
        <v>120000</v>
      </c>
      <c r="E7" s="2" t="s">
        <v>244</v>
      </c>
    </row>
    <row r="8" customFormat="false" ht="23.85" hidden="false" customHeight="false" outlineLevel="0" collapsed="false">
      <c r="A8" s="2" t="s">
        <v>245</v>
      </c>
      <c r="B8" s="5" t="n">
        <v>783</v>
      </c>
      <c r="C8" s="5" t="n">
        <v>783</v>
      </c>
      <c r="D8" s="5" t="n">
        <v>783</v>
      </c>
      <c r="E8" s="2" t="s">
        <v>246</v>
      </c>
    </row>
    <row r="9" customFormat="false" ht="15" hidden="false" customHeight="false" outlineLevel="0" collapsed="false">
      <c r="A9" s="2" t="s">
        <v>247</v>
      </c>
      <c r="B9" s="2" t="n">
        <f aca="false">B5*B8</f>
        <v>78300</v>
      </c>
      <c r="C9" s="2" t="n">
        <f aca="false">C5*C8</f>
        <v>117450</v>
      </c>
      <c r="D9" s="2" t="n">
        <f aca="false">D5*D8</f>
        <v>140940</v>
      </c>
      <c r="E9" s="2"/>
    </row>
    <row r="10" customFormat="false" ht="15" hidden="false" customHeight="false" outlineLevel="0" collapsed="false">
      <c r="A10" s="2" t="s">
        <v>194</v>
      </c>
      <c r="B10" s="2" t="n">
        <f aca="false">20*4000*B4</f>
        <v>40000</v>
      </c>
      <c r="C10" s="2" t="n">
        <f aca="false">20*4000*C4</f>
        <v>64000</v>
      </c>
      <c r="D10" s="2" t="n">
        <f aca="false">20*4000*D4</f>
        <v>80000</v>
      </c>
      <c r="E10" s="2" t="s">
        <v>248</v>
      </c>
    </row>
    <row r="11" customFormat="false" ht="15" hidden="false" customHeight="false" outlineLevel="0" collapsed="false">
      <c r="A11" s="2" t="s">
        <v>249</v>
      </c>
      <c r="B11" s="2" t="n">
        <f aca="false">35000+B6*15000</f>
        <v>50000</v>
      </c>
      <c r="C11" s="2" t="n">
        <f aca="false">35000+C6*15000</f>
        <v>80000</v>
      </c>
      <c r="D11" s="2" t="n">
        <f aca="false">35000+D6*15000</f>
        <v>110000</v>
      </c>
      <c r="E11" s="2"/>
    </row>
    <row r="12" customFormat="false" ht="15" hidden="false" customHeight="false" outlineLevel="0" collapsed="false">
      <c r="A12" s="2" t="s">
        <v>200</v>
      </c>
      <c r="B12" s="5" t="n">
        <v>50000</v>
      </c>
      <c r="C12" s="5" t="n">
        <v>50000</v>
      </c>
      <c r="D12" s="5" t="n">
        <v>50000</v>
      </c>
      <c r="E12" s="2" t="s">
        <v>250</v>
      </c>
    </row>
    <row r="13" customFormat="false" ht="15" hidden="false" customHeight="false" outlineLevel="0" collapsed="false">
      <c r="A13" s="2" t="s">
        <v>251</v>
      </c>
      <c r="B13" s="5" t="n">
        <v>12000</v>
      </c>
      <c r="C13" s="5" t="n">
        <v>22000</v>
      </c>
      <c r="D13" s="5" t="n">
        <v>32000</v>
      </c>
      <c r="E13" s="2"/>
    </row>
    <row r="14" customFormat="false" ht="15" hidden="false" customHeight="false" outlineLevel="0" collapsed="false">
      <c r="A14" s="2" t="s">
        <v>252</v>
      </c>
      <c r="B14" s="2" t="n">
        <f aca="false">B9+B10+B11+B12+B7+B13</f>
        <v>285300</v>
      </c>
      <c r="C14" s="2" t="n">
        <f aca="false">C9+C10+C11+C12+C7+C13</f>
        <v>423450</v>
      </c>
      <c r="D14" s="2" t="n">
        <f aca="false">D9+D10+D11+D12+D7+D13</f>
        <v>532940</v>
      </c>
      <c r="E14" s="2"/>
    </row>
    <row r="15" customFormat="false" ht="15" hidden="false" customHeight="false" outlineLevel="0" collapsed="false">
      <c r="A15" s="2" t="s">
        <v>253</v>
      </c>
      <c r="B15" s="2" t="n">
        <f aca="false">20*40*B3</f>
        <v>74000</v>
      </c>
      <c r="C15" s="2" t="n">
        <f aca="false">20*40*C3</f>
        <v>64000</v>
      </c>
      <c r="D15" s="2" t="n">
        <f aca="false">20*40*D3</f>
        <v>54000</v>
      </c>
      <c r="E15" s="2"/>
    </row>
    <row r="16" customFormat="false" ht="15" hidden="false" customHeight="false" outlineLevel="0" collapsed="false">
      <c r="A16" s="2" t="s">
        <v>254</v>
      </c>
      <c r="B16" s="5" t="n">
        <v>60000</v>
      </c>
      <c r="C16" s="5" t="n">
        <v>76000</v>
      </c>
      <c r="D16" s="5" t="n">
        <v>90000</v>
      </c>
      <c r="E16" s="2"/>
    </row>
    <row r="17" customFormat="false" ht="15" hidden="false" customHeight="false" outlineLevel="0" collapsed="false">
      <c r="A17" s="2" t="s">
        <v>255</v>
      </c>
      <c r="B17" s="2" t="n">
        <f aca="false">B5*95</f>
        <v>9500</v>
      </c>
      <c r="C17" s="2" t="n">
        <f aca="false">C5*95</f>
        <v>14250</v>
      </c>
      <c r="D17" s="2" t="n">
        <f aca="false">D5*95</f>
        <v>17100</v>
      </c>
      <c r="E17" s="2" t="s">
        <v>256</v>
      </c>
    </row>
    <row r="18" customFormat="false" ht="15" hidden="false" customHeight="false" outlineLevel="0" collapsed="false">
      <c r="A18" s="2" t="s">
        <v>257</v>
      </c>
      <c r="B18" s="5" t="n">
        <v>110000</v>
      </c>
      <c r="C18" s="5" t="n">
        <v>122000</v>
      </c>
      <c r="D18" s="5" t="n">
        <v>135000</v>
      </c>
      <c r="E18" s="2"/>
    </row>
    <row r="19" customFormat="false" ht="15" hidden="false" customHeight="false" outlineLevel="0" collapsed="false">
      <c r="A19" s="2" t="s">
        <v>258</v>
      </c>
      <c r="B19" s="2" t="n">
        <f aca="false">B15+B16+B17+B18</f>
        <v>253500</v>
      </c>
      <c r="C19" s="2" t="n">
        <f aca="false">C15+C16+C17+C18</f>
        <v>276250</v>
      </c>
      <c r="D19" s="2" t="n">
        <f aca="false">D15+D16+D17+D18</f>
        <v>296100</v>
      </c>
      <c r="E19" s="2"/>
    </row>
    <row r="20" customFormat="false" ht="15" hidden="false" customHeight="false" outlineLevel="0" collapsed="false">
      <c r="A20" s="7" t="s">
        <v>224</v>
      </c>
      <c r="B20" s="7" t="n">
        <f aca="false">B14-B19</f>
        <v>31800</v>
      </c>
      <c r="C20" s="7" t="n">
        <f aca="false">C14-C19</f>
        <v>147200</v>
      </c>
      <c r="D20" s="7" t="n">
        <f aca="false">D14-D19</f>
        <v>236840</v>
      </c>
      <c r="E20" s="7"/>
    </row>
    <row r="21" customFormat="false" ht="15" hidden="false" customHeight="false" outlineLevel="0" collapsed="false">
      <c r="A21" s="7" t="s">
        <v>225</v>
      </c>
      <c r="B21" s="7" t="n">
        <f aca="false">B20/B14</f>
        <v>0.111461619348055</v>
      </c>
      <c r="C21" s="7" t="n">
        <f aca="false">C20/C14</f>
        <v>0.347620734443264</v>
      </c>
      <c r="D21" s="7" t="n">
        <f aca="false">D20/D14</f>
        <v>0.444402747025932</v>
      </c>
      <c r="E21" s="7"/>
    </row>
    <row r="23" customFormat="false" ht="53.7" hidden="false" customHeight="false" outlineLevel="0" collapsed="false">
      <c r="A23" s="6" t="s">
        <v>259</v>
      </c>
    </row>
    <row r="25" customFormat="false" ht="43.25" hidden="false" customHeight="false" outlineLevel="0" collapsed="false">
      <c r="A25" s="6"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6"/>
    <col collapsed="false" customWidth="true" hidden="false" outlineLevel="0" max="6" min="6" style="0" width="44"/>
  </cols>
  <sheetData>
    <row r="1" customFormat="false" ht="15" hidden="false" customHeight="false" outlineLevel="0" collapsed="false">
      <c r="A1" s="9" t="s">
        <v>261</v>
      </c>
    </row>
    <row r="2" customFormat="false" ht="15" hidden="false" customHeight="false" outlineLevel="0" collapsed="false">
      <c r="A2" s="10" t="s">
        <v>262</v>
      </c>
    </row>
    <row r="4" customFormat="false" ht="23.85" hidden="false" customHeight="false" outlineLevel="0" collapsed="false">
      <c r="A4" s="1" t="s">
        <v>263</v>
      </c>
      <c r="B4" s="1" t="s">
        <v>264</v>
      </c>
      <c r="C4" s="1" t="s">
        <v>265</v>
      </c>
      <c r="D4" s="1" t="s">
        <v>266</v>
      </c>
      <c r="E4" s="1" t="s">
        <v>267</v>
      </c>
      <c r="F4" s="1" t="s">
        <v>125</v>
      </c>
    </row>
    <row r="5" customFormat="false" ht="15" hidden="false" customHeight="false" outlineLevel="0" collapsed="false">
      <c r="A5" s="5" t="n">
        <v>0</v>
      </c>
      <c r="B5" s="2" t="n">
        <f aca="false">20*(40*(105*(1-$A5)+55*$A5)-0)</f>
        <v>84000</v>
      </c>
      <c r="C5" s="2" t="n">
        <f aca="false">20*(40*(105*(1-$A5)+55*$A5)-2000)</f>
        <v>44000</v>
      </c>
      <c r="D5" s="2" t="n">
        <f aca="false">20*(40*(105*(1-$A5)+55*$A5)-4000)</f>
        <v>4000</v>
      </c>
      <c r="E5" s="2" t="n">
        <f aca="false">20*(40*(105*(1-$A5)+55*$A5)-6000)</f>
        <v>-36000</v>
      </c>
      <c r="F5" s="2" t="s">
        <v>268</v>
      </c>
    </row>
    <row r="6" customFormat="false" ht="15" hidden="false" customHeight="false" outlineLevel="0" collapsed="false">
      <c r="A6" s="5" t="n">
        <v>0.25</v>
      </c>
      <c r="B6" s="2" t="n">
        <f aca="false">20*(40*(105*(1-$A6)+55*$A6)-0)</f>
        <v>74000</v>
      </c>
      <c r="C6" s="2" t="n">
        <f aca="false">20*(40*(105*(1-$A6)+55*$A6)-2000)</f>
        <v>34000</v>
      </c>
      <c r="D6" s="2" t="n">
        <f aca="false">20*(40*(105*(1-$A6)+55*$A6)-4000)</f>
        <v>-6000</v>
      </c>
      <c r="E6" s="2" t="n">
        <f aca="false">20*(40*(105*(1-$A6)+55*$A6)-6000)</f>
        <v>-46000</v>
      </c>
      <c r="F6" s="2"/>
    </row>
    <row r="7" customFormat="false" ht="15" hidden="false" customHeight="false" outlineLevel="0" collapsed="false">
      <c r="A7" s="11" t="n">
        <v>0.5</v>
      </c>
      <c r="B7" s="7" t="n">
        <f aca="false">20*(40*(105*(1-$A7)+55*$A7)-0)</f>
        <v>64000</v>
      </c>
      <c r="C7" s="7" t="n">
        <f aca="false">20*(40*(105*(1-$A7)+55*$A7)-2000)</f>
        <v>24000</v>
      </c>
      <c r="D7" s="7" t="n">
        <f aca="false">20*(40*(105*(1-$A7)+55*$A7)-4000)</f>
        <v>-16000</v>
      </c>
      <c r="E7" s="7" t="n">
        <f aca="false">20*(40*(105*(1-$A7)+55*$A7)-6000)</f>
        <v>-56000</v>
      </c>
      <c r="F7" s="7" t="s">
        <v>269</v>
      </c>
    </row>
    <row r="8" customFormat="false" ht="15" hidden="false" customHeight="false" outlineLevel="0" collapsed="false">
      <c r="A8" s="5" t="n">
        <v>0.75</v>
      </c>
      <c r="B8" s="2" t="n">
        <f aca="false">20*(40*(105*(1-$A8)+55*$A8)-0)</f>
        <v>54000</v>
      </c>
      <c r="C8" s="2" t="n">
        <f aca="false">20*(40*(105*(1-$A8)+55*$A8)-2000)</f>
        <v>14000</v>
      </c>
      <c r="D8" s="2" t="n">
        <f aca="false">20*(40*(105*(1-$A8)+55*$A8)-4000)</f>
        <v>-26000</v>
      </c>
      <c r="E8" s="2" t="n">
        <f aca="false">20*(40*(105*(1-$A8)+55*$A8)-6000)</f>
        <v>-66000</v>
      </c>
      <c r="F8" s="2"/>
    </row>
    <row r="9" customFormat="false" ht="23.85" hidden="false" customHeight="false" outlineLevel="0" collapsed="false">
      <c r="A9" s="5" t="n">
        <v>1</v>
      </c>
      <c r="B9" s="2" t="n">
        <f aca="false">20*(40*(105*(1-$A9)+55*$A9)-0)</f>
        <v>44000</v>
      </c>
      <c r="C9" s="2" t="n">
        <f aca="false">20*(40*(105*(1-$A9)+55*$A9)-2000)</f>
        <v>4000</v>
      </c>
      <c r="D9" s="2" t="n">
        <f aca="false">20*(40*(105*(1-$A9)+55*$A9)-4000)</f>
        <v>-36000</v>
      </c>
      <c r="E9" s="2" t="n">
        <f aca="false">20*(40*(105*(1-$A9)+55*$A9)-6000)</f>
        <v>-76000</v>
      </c>
      <c r="F9" s="2" t="s">
        <v>270</v>
      </c>
    </row>
    <row r="11" customFormat="false" ht="15" hidden="false" customHeight="false" outlineLevel="0" collapsed="false">
      <c r="A11" s="9" t="s">
        <v>271</v>
      </c>
    </row>
    <row r="12" customFormat="false" ht="15" hidden="false" customHeight="false" outlineLevel="0" collapsed="false">
      <c r="A12" s="1" t="s">
        <v>132</v>
      </c>
      <c r="B12" s="1" t="s">
        <v>19</v>
      </c>
      <c r="C12" s="1"/>
      <c r="D12" s="1"/>
      <c r="E12" s="1"/>
      <c r="F12" s="1" t="s">
        <v>20</v>
      </c>
    </row>
    <row r="13" customFormat="false" ht="15" hidden="false" customHeight="false" outlineLevel="0" collapsed="false">
      <c r="A13" s="2" t="s">
        <v>272</v>
      </c>
      <c r="B13" s="2" t="n">
        <v>122000</v>
      </c>
      <c r="C13" s="2"/>
      <c r="D13" s="2"/>
      <c r="E13" s="2"/>
      <c r="F13" s="2" t="s">
        <v>273</v>
      </c>
    </row>
    <row r="14" customFormat="false" ht="23.85" hidden="false" customHeight="false" outlineLevel="0" collapsed="false">
      <c r="A14" s="2" t="s">
        <v>274</v>
      </c>
      <c r="B14" s="2" t="n">
        <f aca="false">(20*4000*0.8)+35000+3*15000+50000+90000-76000</f>
        <v>208000</v>
      </c>
      <c r="C14" s="2"/>
      <c r="D14" s="2"/>
      <c r="E14" s="2"/>
      <c r="F14" s="2" t="s">
        <v>275</v>
      </c>
    </row>
    <row r="15" customFormat="false" ht="23.85" hidden="false" customHeight="false" outlineLevel="0" collapsed="false">
      <c r="A15" s="2" t="s">
        <v>276</v>
      </c>
      <c r="B15" s="2" t="n">
        <f aca="false">B13-B14</f>
        <v>-86000</v>
      </c>
      <c r="C15" s="2"/>
      <c r="D15" s="2"/>
      <c r="E15" s="2"/>
      <c r="F15" s="2" t="s">
        <v>277</v>
      </c>
    </row>
    <row r="16" customFormat="false" ht="15" hidden="false" customHeight="false" outlineLevel="0" collapsed="false">
      <c r="A16" s="2" t="s">
        <v>278</v>
      </c>
      <c r="B16" s="2" t="n">
        <f aca="false">'3 Unit Economics'!I4</f>
        <v>580</v>
      </c>
      <c r="C16" s="2"/>
      <c r="D16" s="2"/>
      <c r="E16" s="2"/>
      <c r="F16" s="2" t="s">
        <v>279</v>
      </c>
    </row>
    <row r="17" customFormat="false" ht="15" hidden="false" customHeight="false" outlineLevel="0" collapsed="false">
      <c r="A17" s="7" t="s">
        <v>280</v>
      </c>
      <c r="B17" s="7" t="n">
        <f aca="false">IF(B15&lt;=0,0,B15/B16)</f>
        <v>0</v>
      </c>
      <c r="C17" s="7"/>
      <c r="D17" s="7"/>
      <c r="E17" s="7"/>
      <c r="F17" s="7"/>
    </row>
    <row r="19" customFormat="false" ht="95.5" hidden="false" customHeight="false" outlineLevel="0" collapsed="false">
      <c r="A19" s="6"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6"/>
    <col collapsed="false" customWidth="true" hidden="false" outlineLevel="0" max="5" min="5" style="0" width="60"/>
  </cols>
  <sheetData>
    <row r="1" customFormat="false" ht="15" hidden="false" customHeight="false" outlineLevel="0" collapsed="false">
      <c r="A1" s="1" t="s">
        <v>282</v>
      </c>
      <c r="B1" s="1" t="s">
        <v>171</v>
      </c>
      <c r="C1" s="1" t="s">
        <v>172</v>
      </c>
      <c r="D1" s="1" t="s">
        <v>173</v>
      </c>
      <c r="E1" s="1" t="s">
        <v>20</v>
      </c>
    </row>
    <row r="2" customFormat="false" ht="15" hidden="false" customHeight="false" outlineLevel="0" collapsed="false">
      <c r="A2" s="2" t="s">
        <v>252</v>
      </c>
      <c r="B2" s="2" t="n">
        <f aca="false">'7 Three-Year Build'!B25</f>
        <v>207150</v>
      </c>
      <c r="C2" s="2" t="n">
        <f aca="false">'7 Three-Year Build'!C25</f>
        <v>423380</v>
      </c>
      <c r="D2" s="2" t="n">
        <f aca="false">'7 Three-Year Build'!D25</f>
        <v>561460</v>
      </c>
      <c r="E2" s="2"/>
    </row>
    <row r="3" customFormat="false" ht="15" hidden="false" customHeight="false" outlineLevel="0" collapsed="false">
      <c r="A3" s="7" t="s">
        <v>283</v>
      </c>
      <c r="B3" s="7" t="n">
        <f aca="false">'7 Three-Year Build'!B40</f>
        <v>69630</v>
      </c>
      <c r="C3" s="7" t="n">
        <f aca="false">'7 Three-Year Build'!C40</f>
        <v>122430</v>
      </c>
      <c r="D3" s="7" t="n">
        <f aca="false">'7 Three-Year Build'!D40</f>
        <v>147785</v>
      </c>
      <c r="E3" s="7" t="s">
        <v>284</v>
      </c>
    </row>
    <row r="4" customFormat="false" ht="15" hidden="false" customHeight="false" outlineLevel="0" collapsed="false">
      <c r="A4" s="2" t="s">
        <v>225</v>
      </c>
      <c r="B4" s="2" t="n">
        <f aca="false">'7 Three-Year Build'!B41</f>
        <v>0.336133236784938</v>
      </c>
      <c r="C4" s="2" t="n">
        <f aca="false">'7 Three-Year Build'!C41</f>
        <v>0.289172847087723</v>
      </c>
      <c r="D4" s="2" t="n">
        <f aca="false">'7 Three-Year Build'!D41</f>
        <v>0.263215545185766</v>
      </c>
      <c r="E4" s="2"/>
    </row>
    <row r="5" customFormat="false" ht="15" hidden="false" customHeight="false" outlineLevel="0" collapsed="false">
      <c r="A5" s="2" t="s">
        <v>285</v>
      </c>
      <c r="B5" s="2" t="s">
        <v>286</v>
      </c>
      <c r="C5" s="2" t="n">
        <f aca="false">'7 Three-Year Build'!C25/'7 Three-Year Build'!B25-1</f>
        <v>1.04383297127685</v>
      </c>
      <c r="D5" s="2" t="n">
        <f aca="false">'7 Three-Year Build'!D25/'7 Three-Year Build'!C25-1</f>
        <v>0.326137276205773</v>
      </c>
      <c r="E5" s="2"/>
    </row>
    <row r="6" customFormat="false" ht="15" hidden="false" customHeight="false" outlineLevel="0" collapsed="false">
      <c r="A6" s="2" t="s">
        <v>241</v>
      </c>
      <c r="B6" s="2" t="n">
        <f aca="false">'7 Three-Year Build'!B11</f>
        <v>83</v>
      </c>
      <c r="C6" s="2" t="n">
        <f aca="false">'7 Three-Year Build'!C11</f>
        <v>150</v>
      </c>
      <c r="D6" s="2" t="n">
        <f aca="false">'7 Three-Year Build'!D11</f>
        <v>180</v>
      </c>
      <c r="E6" s="2"/>
    </row>
    <row r="7" customFormat="false" ht="15" hidden="false" customHeight="false" outlineLevel="0" collapsed="false">
      <c r="A7" s="2" t="s">
        <v>287</v>
      </c>
      <c r="B7" s="2" t="n">
        <f aca="false">'7 Three-Year Build'!B7</f>
        <v>90</v>
      </c>
      <c r="C7" s="2" t="n">
        <f aca="false">'7 Three-Year Build'!C7</f>
        <v>200</v>
      </c>
      <c r="D7" s="2" t="n">
        <f aca="false">'7 Three-Year Build'!D7</f>
        <v>280</v>
      </c>
      <c r="E7" s="2" t="s">
        <v>288</v>
      </c>
    </row>
    <row r="8" customFormat="false" ht="15" hidden="false" customHeight="false" outlineLevel="0" collapsed="false">
      <c r="A8" s="2" t="s">
        <v>227</v>
      </c>
      <c r="B8" s="2" t="n">
        <f aca="false">'7 Three-Year Build'!B42</f>
        <v>2495.78313253012</v>
      </c>
      <c r="C8" s="2" t="n">
        <f aca="false">'7 Three-Year Build'!C42</f>
        <v>2822.53333333333</v>
      </c>
      <c r="D8" s="2" t="n">
        <f aca="false">'7 Three-Year Build'!D42</f>
        <v>3119.22222222222</v>
      </c>
      <c r="E8" s="2" t="s">
        <v>289</v>
      </c>
    </row>
    <row r="9" customFormat="false" ht="15" hidden="false" customHeight="false" outlineLevel="0" collapsed="false">
      <c r="A9" s="2" t="s">
        <v>229</v>
      </c>
      <c r="B9" s="2" t="n">
        <f aca="false">'7 Three-Year Build'!B43</f>
        <v>0.291334781559257</v>
      </c>
      <c r="C9" s="2" t="n">
        <f aca="false">'7 Three-Year Build'!C43</f>
        <v>0.277245028107138</v>
      </c>
      <c r="D9" s="2" t="n">
        <f aca="false">'7 Three-Year Build'!D43</f>
        <v>0.249456773412175</v>
      </c>
      <c r="E9" s="2"/>
    </row>
    <row r="10" customFormat="false" ht="15" hidden="false" customHeight="false" outlineLevel="0" collapsed="false">
      <c r="A10" s="7" t="s">
        <v>231</v>
      </c>
      <c r="B10" s="7" t="n">
        <f aca="false">'7 Three-Year Build'!B44</f>
        <v>0.501086169442433</v>
      </c>
      <c r="C10" s="7" t="n">
        <f aca="false">'7 Three-Year Build'!C44</f>
        <v>0.458217204402664</v>
      </c>
      <c r="D10" s="7" t="n">
        <f aca="false">'7 Three-Year Build'!D44</f>
        <v>0.501193317422434</v>
      </c>
      <c r="E10" s="7" t="s">
        <v>290</v>
      </c>
    </row>
    <row r="11" customFormat="false" ht="15" hidden="false" customHeight="false" outlineLevel="0" collapsed="false">
      <c r="A11" s="2" t="s">
        <v>188</v>
      </c>
      <c r="B11" s="2" t="n">
        <f aca="false">'7 Three-Year Build'!B13</f>
        <v>0.795416666666667</v>
      </c>
      <c r="C11" s="2" t="n">
        <f aca="false">'7 Three-Year Build'!C13</f>
        <v>0.8625</v>
      </c>
      <c r="D11" s="2" t="n">
        <f aca="false">'7 Three-Year Build'!D13</f>
        <v>0.8625</v>
      </c>
      <c r="E11" s="2" t="s">
        <v>291</v>
      </c>
    </row>
    <row r="12" customFormat="false" ht="15" hidden="false" customHeight="false" outlineLevel="0" collapsed="false">
      <c r="A12" s="2" t="s">
        <v>175</v>
      </c>
      <c r="B12" s="2" t="n">
        <f aca="false">'7 Three-Year Build'!B3</f>
        <v>3</v>
      </c>
      <c r="C12" s="2" t="n">
        <f aca="false">'7 Three-Year Build'!C3</f>
        <v>5</v>
      </c>
      <c r="D12" s="2" t="n">
        <f aca="false">'7 Three-Year Build'!D3</f>
        <v>5</v>
      </c>
      <c r="E12" s="2"/>
    </row>
    <row r="13" customFormat="false" ht="15" hidden="false" customHeight="false" outlineLevel="0" collapsed="false">
      <c r="A13" s="2" t="s">
        <v>292</v>
      </c>
      <c r="B13" s="2" t="n">
        <f aca="false">'7 Three-Year Build'!B4+'7 Three-Year Build'!B5</f>
        <v>13</v>
      </c>
      <c r="C13" s="2" t="n">
        <f aca="false">'7 Three-Year Build'!C4+'7 Three-Year Build'!C5</f>
        <v>22</v>
      </c>
      <c r="D13" s="2" t="n">
        <f aca="false">'7 Three-Year Build'!D4+'7 Three-Year Build'!D5</f>
        <v>26</v>
      </c>
      <c r="E13" s="2" t="s">
        <v>293</v>
      </c>
    </row>
    <row r="14" customFormat="false" ht="15" hidden="false" customHeight="false" outlineLevel="0" collapsed="false">
      <c r="A14" s="2" t="s">
        <v>294</v>
      </c>
      <c r="B14" s="2" t="s">
        <v>286</v>
      </c>
      <c r="C14" s="2" t="n">
        <f aca="false">('4 LTV, CAC &amp; Payback'!E3)/('4 LTV, CAC &amp; Payback'!F3)</f>
        <v>9.28</v>
      </c>
      <c r="D14" s="2"/>
      <c r="E14" s="2" t="s">
        <v>295</v>
      </c>
    </row>
    <row r="16" customFormat="false" ht="53.7" hidden="false" customHeight="false" outlineLevel="0" collapsed="false">
      <c r="A16" s="6"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20"/>
    <col collapsed="false" customWidth="true" hidden="false" outlineLevel="0" max="4" min="4" style="0" width="54"/>
  </cols>
  <sheetData>
    <row r="1" customFormat="false" ht="15" hidden="false" customHeight="false" outlineLevel="0" collapsed="false">
      <c r="A1" s="1" t="s">
        <v>297</v>
      </c>
      <c r="B1" s="1" t="s">
        <v>298</v>
      </c>
      <c r="C1" s="1" t="s">
        <v>299</v>
      </c>
      <c r="D1" s="1" t="s">
        <v>300</v>
      </c>
    </row>
    <row r="2" customFormat="false" ht="35.05" hidden="false" customHeight="false" outlineLevel="0" collapsed="false">
      <c r="A2" s="2" t="s">
        <v>301</v>
      </c>
      <c r="B2" s="2" t="s">
        <v>302</v>
      </c>
      <c r="C2" s="2" t="s">
        <v>303</v>
      </c>
      <c r="D2" s="2" t="s">
        <v>304</v>
      </c>
    </row>
    <row r="3" customFormat="false" ht="23.85" hidden="false" customHeight="false" outlineLevel="0" collapsed="false">
      <c r="A3" s="2" t="s">
        <v>305</v>
      </c>
      <c r="B3" s="2" t="s">
        <v>306</v>
      </c>
      <c r="C3" s="2" t="s">
        <v>303</v>
      </c>
      <c r="D3" s="2" t="s">
        <v>307</v>
      </c>
    </row>
    <row r="4" customFormat="false" ht="35.05" hidden="false" customHeight="false" outlineLevel="0" collapsed="false">
      <c r="A4" s="2" t="s">
        <v>308</v>
      </c>
      <c r="B4" s="2" t="s">
        <v>309</v>
      </c>
      <c r="C4" s="2" t="s">
        <v>303</v>
      </c>
      <c r="D4" s="2" t="s">
        <v>310</v>
      </c>
    </row>
    <row r="5" customFormat="false" ht="23.85" hidden="false" customHeight="false" outlineLevel="0" collapsed="false">
      <c r="A5" s="2" t="s">
        <v>311</v>
      </c>
      <c r="B5" s="2" t="s">
        <v>312</v>
      </c>
      <c r="C5" s="2" t="s">
        <v>303</v>
      </c>
      <c r="D5" s="2" t="s">
        <v>313</v>
      </c>
    </row>
    <row r="6" customFormat="false" ht="23.85" hidden="false" customHeight="false" outlineLevel="0" collapsed="false">
      <c r="A6" s="2" t="s">
        <v>314</v>
      </c>
      <c r="B6" s="2" t="s">
        <v>315</v>
      </c>
      <c r="C6" s="2" t="s">
        <v>303</v>
      </c>
      <c r="D6" s="2" t="s">
        <v>316</v>
      </c>
    </row>
    <row r="7" customFormat="false" ht="35.05" hidden="false" customHeight="false" outlineLevel="0" collapsed="false">
      <c r="A7" s="2" t="s">
        <v>317</v>
      </c>
      <c r="B7" s="2" t="s">
        <v>318</v>
      </c>
      <c r="C7" s="2" t="s">
        <v>303</v>
      </c>
      <c r="D7" s="2" t="s">
        <v>319</v>
      </c>
    </row>
    <row r="8" customFormat="false" ht="23.85" hidden="false" customHeight="false" outlineLevel="0" collapsed="false">
      <c r="A8" s="2" t="s">
        <v>320</v>
      </c>
      <c r="B8" s="2" t="s">
        <v>321</v>
      </c>
      <c r="C8" s="2" t="s">
        <v>322</v>
      </c>
      <c r="D8" s="2" t="s">
        <v>323</v>
      </c>
    </row>
    <row r="9" customFormat="false" ht="23.85" hidden="false" customHeight="false" outlineLevel="0" collapsed="false">
      <c r="A9" s="2" t="s">
        <v>324</v>
      </c>
      <c r="B9" s="2" t="s">
        <v>325</v>
      </c>
      <c r="C9" s="2" t="s">
        <v>322</v>
      </c>
      <c r="D9" s="2" t="s">
        <v>326</v>
      </c>
    </row>
    <row r="10" customFormat="false" ht="23.85" hidden="false" customHeight="false" outlineLevel="0" collapsed="false">
      <c r="A10" s="2" t="s">
        <v>327</v>
      </c>
      <c r="B10" s="2" t="s">
        <v>328</v>
      </c>
      <c r="C10" s="2" t="s">
        <v>322</v>
      </c>
      <c r="D10" s="2" t="s">
        <v>329</v>
      </c>
    </row>
    <row r="11" customFormat="false" ht="23.85" hidden="false" customHeight="false" outlineLevel="0" collapsed="false">
      <c r="A11" s="2" t="s">
        <v>330</v>
      </c>
      <c r="B11" s="2" t="s">
        <v>331</v>
      </c>
      <c r="C11" s="2" t="s">
        <v>332</v>
      </c>
      <c r="D11" s="2" t="s">
        <v>333</v>
      </c>
    </row>
    <row r="13" customFormat="false" ht="74.6" hidden="false" customHeight="false" outlineLevel="0" collapsed="false">
      <c r="A13" s="6"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2026-07-24T03:41:49Z</dcterms:created>
  <dc:creator>openpyxl</dc:creator>
  <dc:description/>
  <dc:language>en-US</dc:language>
  <cp:lastModifiedBy/>
  <dcterms:modified xsi:type="dcterms:W3CDTF">2026-07-24T03:44:21Z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