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Strategy" sheetId="1" state="visible" r:id="rId3"/>
    <sheet name="2 Perk Matrix" sheetId="2" state="visible" r:id="rId4"/>
    <sheet name="3 Pricing Model" sheetId="3" state="visible" r:id="rId5"/>
    <sheet name="4 Pricing Table" sheetId="4" state="visible" r:id="rId6"/>
    <sheet name="5 Member Rate Card" sheetId="5" state="visible" r:id="rId7"/>
    <sheet name="6 Redemption &amp; Margin" sheetId="6" state="visible" r:id="rId8"/>
    <sheet name="7 Savings Scenarios" sheetId="7" state="visible" r:id="rId9"/>
    <sheet name="8 Year One Model" sheetId="8" state="visible" r:id="rId10"/>
    <sheet name="9 Tier Names" sheetId="9" state="visible" r:id="rId11"/>
    <sheet name="10 Tax &amp; Terms" sheetId="10" state="visible" r:id="rId12"/>
    <sheet name="11 Implementation"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<sst xmlns="http://schemas.openxmlformats.org/spreadsheetml/2006/main" count="782" uniqueCount="472">
  <si>
    <t xml:space="preserve">Decision</t>
  </si>
  <si>
    <t xml:space="preserve">Choice</t>
  </si>
  <si>
    <t xml:space="preserve">Rationale</t>
  </si>
  <si>
    <t xml:space="preserve">Goal balance</t>
  </si>
  <si>
    <t xml:space="preserve">Delight-weighted at entry, yield-weighted at the top</t>
  </si>
  <si>
    <t xml:space="preserve">The entry tier must feel obviously worth it to a bootstrapped founder or a curious clinician. Yield is captured at Attending and Chief, where exhibiting and national access carry real budget.</t>
  </si>
  <si>
    <t xml:space="preserve">Stage (When)</t>
  </si>
  <si>
    <t xml:space="preserve">Pre-launch to MVP</t>
  </si>
  <si>
    <t xml:space="preserve">No attendance history yet. Price for learning and commitment, not for maximum extraction. Founding rates lock early believers and buy proof.</t>
  </si>
  <si>
    <t xml:space="preserve">Beachhead (Who)</t>
  </si>
  <si>
    <t xml:space="preserve">GTA health tech founders, seed to Series B, plus GTA clinicians as hosted guests</t>
  </si>
  <si>
    <t xml:space="preserve">Easy to service (one city, one dinner cadence), zero incumbent share in curated cross-group rooms, and the group whose pain (18 months for one clinical conversation) is sharpest.</t>
  </si>
  <si>
    <t xml:space="preserve">Sales motion</t>
  </si>
  <si>
    <t xml:space="preserve">Gathering at Guest and Resident, Farming at Attending, Hunting at Chief and Partnership</t>
  </si>
  <si>
    <t xml:space="preserve">Free and $290 must be self-serve through the existing apply flow. Attending converts through the dinner experience. Chief and category partnership are conversations.</t>
  </si>
  <si>
    <t xml:space="preserve">Strategic intent</t>
  </si>
  <si>
    <t xml:space="preserve">Differentiate</t>
  </si>
  <si>
    <t xml:space="preserve">MaRS, OBIO, CAN Health and Medtech Canada all connect this ecosystem through programs and projects. None sells a composed, balanced, intimate room. Do not follow association dues conventions; set a room-time convention instead.</t>
  </si>
  <si>
    <t xml:space="preserve">Denominator</t>
  </si>
  <si>
    <t xml:space="preserve">Per member, per year</t>
  </si>
  <si>
    <t xml:space="preserve">Value is delivered in seats at rooms, and rooms happen on an annual cadence (4 dinners plus a summit). A per-seat or per-event denominator would price attendance and destroy the belonging story. Annual also matches the composition planning cycle.</t>
  </si>
  <si>
    <t xml:space="preserve">Pricing basis</t>
  </si>
  <si>
    <t xml:space="preserve">Value-based, floored by event cost</t>
  </si>
  <si>
    <t xml:space="preserve">Price is set from the value of guaranteed proximity and the redeemable rate card, then checked against the real cost of a dinner seat. Cost-based alone would undercharge; market-based alone would anchor to association dues, which buy far less room time.</t>
  </si>
  <si>
    <t xml:space="preserve">Denominator x basis fit</t>
  </si>
  <si>
    <t xml:space="preserve">Pass</t>
  </si>
  <si>
    <t xml:space="preserve">Per-member x value-based is a clean pair. The risk with per-member pricing (decoupling from value) is handled by the member rate card, which lets heavy users redeem more and light users still feel the fee is fair.</t>
  </si>
  <si>
    <t xml:space="preserve">Deviation from the framework</t>
  </si>
  <si>
    <t xml:space="preserve">Decoy share is intentionally high</t>
  </si>
  <si>
    <t xml:space="preserve">The standard split is Decoy 5-20 / Hero 60-80 / Anchor 5-20. Here the planning split is Resident 45 / Attending 40 / Chief 15 of paying members. In an events business the entry tier carries genuine recurring value (four real dinners), unlike a software Lite plan. Watch the ratio: if Resident exceeds 60 percent after two quarters, Attending is underbuilt, not overpriced.</t>
  </si>
  <si>
    <t xml:space="preserve">The one non-negotiable</t>
  </si>
  <si>
    <t xml:space="preserve">Guest is free forever</t>
  </si>
  <si>
    <t xml:space="preserve">Clinicians, researchers, academics, students and policy leaders create the value that every paying tier is buying proximity to. Charging them, even a token amount, collapses the asset. This is a permanent design rule, not a launch promotion.</t>
  </si>
  <si>
    <t xml:space="preserve">Perk / capability</t>
  </si>
  <si>
    <t xml:space="preserve">Market demand</t>
  </si>
  <si>
    <t xml:space="preserve">Competitive density</t>
  </si>
  <si>
    <t xml:space="preserve">Zone</t>
  </si>
  <si>
    <t xml:space="preserve">Packaging role</t>
  </si>
  <si>
    <t xml:space="preserve">Marketing label</t>
  </si>
  <si>
    <t xml:space="preserve">Assigned tier</t>
  </si>
  <si>
    <t xml:space="preserve">Cost to deliver, per member per year</t>
  </si>
  <si>
    <t xml:space="preserve">Directory profile with protected pitch media</t>
  </si>
  <si>
    <t xml:space="preserve">Most</t>
  </si>
  <si>
    <t xml:space="preserve">A few do this</t>
  </si>
  <si>
    <t xml:space="preserve">Differentiator</t>
  </si>
  <si>
    <t xml:space="preserve">Freemium-Lite</t>
  </si>
  <si>
    <t xml:space="preserve">Leading</t>
  </si>
  <si>
    <t xml:space="preserve">Guest+</t>
  </si>
  <si>
    <t xml:space="preserve">$0, already built</t>
  </si>
  <si>
    <t xml:space="preserve">Nomination rights (nominate a clinician or researcher)</t>
  </si>
  <si>
    <t xml:space="preserve">Some</t>
  </si>
  <si>
    <t xml:space="preserve">Only we do this</t>
  </si>
  <si>
    <t xml:space="preserve">Niche</t>
  </si>
  <si>
    <t xml:space="preserve">Innovation</t>
  </si>
  <si>
    <t xml:space="preserve">$0, and it is the acquisition engine</t>
  </si>
  <si>
    <t xml:space="preserve">Invitation to dinners when composition calls for you</t>
  </si>
  <si>
    <t xml:space="preserve">All</t>
  </si>
  <si>
    <t xml:space="preserve">Guest</t>
  </si>
  <si>
    <t xml:space="preserve">Seat cost when redeemed</t>
  </si>
  <si>
    <t xml:space="preserve">Live online cohorts, attend and speak on panels</t>
  </si>
  <si>
    <t xml:space="preserve">Most do this</t>
  </si>
  <si>
    <t xml:space="preserve">Table stakes</t>
  </si>
  <si>
    <t xml:space="preserve">Commoditized</t>
  </si>
  <si>
    <t xml:space="preserve">$0 marginal</t>
  </si>
  <si>
    <t xml:space="preserve">Newsletter and annual composition report</t>
  </si>
  <si>
    <t xml:space="preserve">$0</t>
  </si>
  <si>
    <t xml:space="preserve">Digital verified member badge for LinkedIn</t>
  </si>
  <si>
    <t xml:space="preserve">Noise</t>
  </si>
  <si>
    <t xml:space="preserve">Guaranteed seat at every home-province dinner</t>
  </si>
  <si>
    <t xml:space="preserve">Premium-Hero</t>
  </si>
  <si>
    <t xml:space="preserve">Resident+</t>
  </si>
  <si>
    <t xml:space="preserve">Seat cost x 4</t>
  </si>
  <si>
    <t xml:space="preserve">Recorded cohort library</t>
  </si>
  <si>
    <t xml:space="preserve">Physical member card, presented at the table</t>
  </si>
  <si>
    <t xml:space="preserve">$12</t>
  </si>
  <si>
    <t xml:space="preserve">Welcome kit (card, notebook, pin, luggage tag)</t>
  </si>
  <si>
    <t xml:space="preserve">$45</t>
  </si>
  <si>
    <t xml:space="preserve">Member rate on the summit pass</t>
  </si>
  <si>
    <t xml:space="preserve">Margin give, not cash</t>
  </si>
  <si>
    <t xml:space="preserve">Member rate on the summit exhibitor booth</t>
  </si>
  <si>
    <t xml:space="preserve">Enterprise-Add-on</t>
  </si>
  <si>
    <t xml:space="preserve">Seat-preference request (tell us who you need to meet)</t>
  </si>
  <si>
    <t xml:space="preserve">$0, labour only</t>
  </si>
  <si>
    <t xml:space="preserve">Partner benefits bundle (cloud credits, legal hour, banking offer)</t>
  </si>
  <si>
    <t xml:space="preserve">$0 to us, funded by category partners</t>
  </si>
  <si>
    <t xml:space="preserve">Early access to dinner dates and summit tickets</t>
  </si>
  <si>
    <t xml:space="preserve">Introduction requests, 2 per quarter</t>
  </si>
  <si>
    <t xml:space="preserve">Summit day pass included</t>
  </si>
  <si>
    <t xml:space="preserve">Attending+</t>
  </si>
  <si>
    <t xml:space="preserve">$200</t>
  </si>
  <si>
    <t xml:space="preserve">Two out-of-province dinners included</t>
  </si>
  <si>
    <t xml:space="preserve">Seat cost x 2</t>
  </si>
  <si>
    <t xml:space="preserve">Cohort moderator eligibility</t>
  </si>
  <si>
    <t xml:space="preserve">$0, and it is a status perk</t>
  </si>
  <si>
    <t xml:space="preserve">Summit speaking and panel consideration</t>
  </si>
  <si>
    <t xml:space="preserve">Guest pass, bring a colleague to a dinner</t>
  </si>
  <si>
    <t xml:space="preserve">Attending 1/yr, Chief 3/yr</t>
  </si>
  <si>
    <t xml:space="preserve">Seat cost per pass</t>
  </si>
  <si>
    <t xml:space="preserve">Introduction requests, unlimited within fair use</t>
  </si>
  <si>
    <t xml:space="preserve">Every dinner, every city, all five chapters</t>
  </si>
  <si>
    <t xml:space="preserve">Chief</t>
  </si>
  <si>
    <t xml:space="preserve">Seat cost x attendance</t>
  </si>
  <si>
    <t xml:space="preserve">Second summit pass, both cities</t>
  </si>
  <si>
    <t xml:space="preserve">Summit exhibitor booth included</t>
  </si>
  <si>
    <t xml:space="preserve">None do this</t>
  </si>
  <si>
    <t xml:space="preserve">$400 servicing</t>
  </si>
  <si>
    <t xml:space="preserve">Co-host a dinner in your city and shape its theme</t>
  </si>
  <si>
    <t xml:space="preserve">Member wall listing, site and at every event</t>
  </si>
  <si>
    <t xml:space="preserve">Printables and branded merch allocation, $250 credit</t>
  </si>
  <si>
    <t xml:space="preserve">None</t>
  </si>
  <si>
    <t xml:space="preserve">Outdated</t>
  </si>
  <si>
    <t xml:space="preserve">$250</t>
  </si>
  <si>
    <t xml:space="preserve">Input on the summit programme</t>
  </si>
  <si>
    <t xml:space="preserve">Founding member price lock, first 100 paid members</t>
  </si>
  <si>
    <t xml:space="preserve">All paid</t>
  </si>
  <si>
    <t xml:space="preserve">Margin give, permanent</t>
  </si>
  <si>
    <t xml:space="preserve">Fourteen of the thirty perks cost nothing marginal to deliver. That is how the value stack reaches 4-5x the fee without eroding margin. The partner benefits bundle is the single strongest line: it is funded by category partners and can exceed the membership fee on its own.</t>
  </si>
  <si>
    <t xml:space="preserve">BOTTOM-UP PRICING MODEL, CAD, ALL FIGURES EXCLUDE GST/HST/QST</t>
  </si>
  <si>
    <t xml:space="preserve">BLOCK A. UNIT COST ASSUMPTIONS (blue cells are editable inputs)</t>
  </si>
  <si>
    <t xml:space="preserve">Dinner seat cost, restaurant format (TO/VAN benchmark)</t>
  </si>
  <si>
    <t xml:space="preserve">Assumption: 3 courses, venue minimum, service, no alcohol.</t>
  </si>
  <si>
    <t xml:space="preserve">Dinner seat cost, partner-hosted format (donated venue, catered)</t>
  </si>
  <si>
    <t xml:space="preserve">Assumption: partner boardroom or office, catering only.</t>
  </si>
  <si>
    <t xml:space="preserve">Share of dinners that are partner-hosted</t>
  </si>
  <si>
    <t xml:space="preserve">Assumption. This is the single biggest cost lever in the model.</t>
  </si>
  <si>
    <t xml:space="preserve">Blended dinner seat cost</t>
  </si>
  <si>
    <t xml:space="preserve">Formula. Drives every redemption calculation.</t>
  </si>
  <si>
    <t xml:space="preserve">Summit cost per attendee</t>
  </si>
  <si>
    <t xml:space="preserve">Assumption: venue, AV, catering, staffing at 150-250 attendees.</t>
  </si>
  <si>
    <t xml:space="preserve">Exhibitor booth servicing cost</t>
  </si>
  <si>
    <t xml:space="preserve">Assumption: floor space, table, power, listing.</t>
  </si>
  <si>
    <t xml:space="preserve">Welcome kit cost, standard</t>
  </si>
  <si>
    <t xml:space="preserve">Card, notebook, pin, luggage tag.</t>
  </si>
  <si>
    <t xml:space="preserve">Welcome kit cost, Chief</t>
  </si>
  <si>
    <t xml:space="preserve">Full kit plus printed materials.</t>
  </si>
  <si>
    <t xml:space="preserve">Platform and ops cost, per member per year</t>
  </si>
  <si>
    <t xml:space="preserve">Supabase, Vercel, Resend, admin time allocation.</t>
  </si>
  <si>
    <t xml:space="preserve">Cohort session cost</t>
  </si>
  <si>
    <t xml:space="preserve">Editing and hosting. 8 sessions per year, fixed not per member.</t>
  </si>
  <si>
    <t xml:space="preserve">BLOCK B. PUBLIC RATE CARD (what a non-member pays)</t>
  </si>
  <si>
    <t xml:space="preserve">Public dinner ticket</t>
  </si>
  <si>
    <t xml:space="preserve">Set below true cost on purpose. Sponsors close the gap.</t>
  </si>
  <si>
    <t xml:space="preserve">Public summit day pass</t>
  </si>
  <si>
    <t xml:space="preserve">Public summit exhibitor booth</t>
  </si>
  <si>
    <t xml:space="preserve">BLOCK C. COST-TO-SERVICE FLOOR FOR THE HERO TIER (Attending)</t>
  </si>
  <si>
    <t xml:space="preserve">Target gross margin for an events business</t>
  </si>
  <si>
    <t xml:space="preserve">Assumption. Events do not reach software margins. 60 percent is the working target.</t>
  </si>
  <si>
    <t xml:space="preserve">Typical-redemption cost to service, dinners UNSPONSORED</t>
  </si>
  <si>
    <t xml:space="preserve">2.3 of 4 home dinners, 0.6 of 2 away dinners, 0.7 summit, kit, platform.</t>
  </si>
  <si>
    <t xml:space="preserve">Floor price at target margin, UNSPONSORED</t>
  </si>
  <si>
    <t xml:space="preserve">FINDING: the Hero price of $790 sits below this floor. See Block G.</t>
  </si>
  <si>
    <t xml:space="preserve">Typical-redemption cost to service, dinners SPONSORED</t>
  </si>
  <si>
    <t xml:space="preserve">Sponsor or donated venue covers dinner food and room.</t>
  </si>
  <si>
    <t xml:space="preserve">Floor price at target margin, SPONSORED</t>
  </si>
  <si>
    <t xml:space="preserve">The Hero clears this comfortably.</t>
  </si>
  <si>
    <t xml:space="preserve">BLOCK D. MARKET BAND (normalized to an annual individual membership)</t>
  </si>
  <si>
    <t xml:space="preserve">Market low, chamber of commerce style individual dues</t>
  </si>
  <si>
    <t xml:space="preserve">Assumption, to confirm.</t>
  </si>
  <si>
    <t xml:space="preserve">Market median, industry association individual membership</t>
  </si>
  <si>
    <t xml:space="preserve">Assumption, to confirm against OBIO and Medtech Canada published rates.</t>
  </si>
  <si>
    <t xml:space="preserve">Market high, curated peer network annual seat</t>
  </si>
  <si>
    <t xml:space="preserve">One conference pass alone, for comparison</t>
  </si>
  <si>
    <t xml:space="preserve">A single day, no relationships, no follow-up.</t>
  </si>
  <si>
    <t xml:space="preserve">BLOCK E. VALUE CEILING FOR THE HERO TIER (Attending)</t>
  </si>
  <si>
    <t xml:space="preserve">Four home-province dinners at the public rate</t>
  </si>
  <si>
    <t xml:space="preserve">Two out-of-province dinners at the public rate</t>
  </si>
  <si>
    <t xml:space="preserve">Summit day pass at the public rate</t>
  </si>
  <si>
    <t xml:space="preserve">Exhibitor booth saving if used (public minus member rate)</t>
  </si>
  <si>
    <t xml:space="preserve">Cohort library, directory, introductions</t>
  </si>
  <si>
    <t xml:space="preserve">Assumption, conservative.</t>
  </si>
  <si>
    <t xml:space="preserve">Assumption. Funded by category partners, zero cost to us.</t>
  </si>
  <si>
    <t xml:space="preserve">Total quantified annual value</t>
  </si>
  <si>
    <t xml:space="preserve">Formula.</t>
  </si>
  <si>
    <t xml:space="preserve">Capture fraction actually taken</t>
  </si>
  <si>
    <t xml:space="preserve">Formula. Healthy range is 0.10 to 0.30.</t>
  </si>
  <si>
    <t xml:space="preserve">BLOCK F. THE LADDER (Hero set first, Decoy and Anchor derived)</t>
  </si>
  <si>
    <t xml:space="preserve">Tier</t>
  </si>
  <si>
    <t xml:space="preserve">Annual price</t>
  </si>
  <si>
    <t xml:space="preserve">Monthly price</t>
  </si>
  <si>
    <t xml:space="preserve">Ratio to Hero</t>
  </si>
  <si>
    <t xml:space="preserve">Role</t>
  </si>
  <si>
    <t xml:space="preserve">Note</t>
  </si>
  <si>
    <t xml:space="preserve">Freemium</t>
  </si>
  <si>
    <t xml:space="preserve">Free forever. Not a commercial tier, it is the magnet.</t>
  </si>
  <si>
    <t xml:space="preserve">Resident</t>
  </si>
  <si>
    <t xml:space="preserve">Decoy</t>
  </si>
  <si>
    <t xml:space="preserve">Entry. Priced at roughly what four dinner tickets cost.</t>
  </si>
  <si>
    <t xml:space="preserve">Attending</t>
  </si>
  <si>
    <t xml:space="preserve">HERO</t>
  </si>
  <si>
    <t xml:space="preserve">Most popular. Summit included plus the exhibitor rate.</t>
  </si>
  <si>
    <t xml:space="preserve">Anchor</t>
  </si>
  <si>
    <t xml:space="preserve">All cities, both summits, booth included.</t>
  </si>
  <si>
    <t xml:space="preserve">Hero annual price, referenced by the value ceiling</t>
  </si>
  <si>
    <t xml:space="preserve">Resulting gross margin at typical redemption, SPONSORED</t>
  </si>
  <si>
    <t xml:space="preserve">Resulting gross margin at typical redemption, UNSPONSORED</t>
  </si>
  <si>
    <t xml:space="preserve">Annual discount versus paying monthly, Resident</t>
  </si>
  <si>
    <t xml:space="preserve">Annual discount versus paying monthly, Attending</t>
  </si>
  <si>
    <t xml:space="preserve">BLOCK G. THE HEADLINE FINDING</t>
  </si>
  <si>
    <t xml:space="preserve">Compare the floor in row 23 against the Hero price in row 47. At typical redemption with UNSPONSORED dinners the floor is about $1,105, well above the $790 Hero price. With sponsored or partner-hosted dinners the floor drops to about $525 and the Hero clears it at roughly 73 percent margin. This is the operating rule the model produces: no dinner goes on the calendar without either a per-dinner sponsor at $3,000 to $7,500 or a donated partner venue. Membership revenue is margin on top of a sponsor-funded programme, never the thing that pays for the food.</t>
  </si>
  <si>
    <t xml:space="preserve">Plan name</t>
  </si>
  <si>
    <t xml:space="preserve">Flag</t>
  </si>
  <si>
    <t xml:space="preserve">Most popular</t>
  </si>
  <si>
    <t xml:space="preserve">Who it is for</t>
  </si>
  <si>
    <t xml:space="preserve">Clinicians, researchers, academics, students and policy leaders. Anyone giving value to the room rather than selling into it.</t>
  </si>
  <si>
    <t xml:space="preserve">Bootstrapped founders, solo operators, and clinicians who want a guaranteed seat in their own province.</t>
  </si>
  <si>
    <t xml:space="preserve">Funded startups and operators working nationally, and anyone exhibiting at the summit.</t>
  </si>
  <si>
    <t xml:space="preserve">Scale-ups and firms that want every room in the country and a presence at both summits.</t>
  </si>
  <si>
    <t xml:space="preserve">Annual price (CAD, tax excl.)</t>
  </si>
  <si>
    <t xml:space="preserve">$0 forever</t>
  </si>
  <si>
    <t xml:space="preserve">$290</t>
  </si>
  <si>
    <t xml:space="preserve">$790</t>
  </si>
  <si>
    <t xml:space="preserve">$2,950</t>
  </si>
  <si>
    <t xml:space="preserve">Monthly option</t>
  </si>
  <si>
    <t xml:space="preserve">n/a</t>
  </si>
  <si>
    <t xml:space="preserve">$29</t>
  </si>
  <si>
    <t xml:space="preserve">$79</t>
  </si>
  <si>
    <t xml:space="preserve">Annual only</t>
  </si>
  <si>
    <t xml:space="preserve">Founding rate, first 100 paid members</t>
  </si>
  <si>
    <t xml:space="preserve">$240 locked for life</t>
  </si>
  <si>
    <t xml:space="preserve">$650 locked for life</t>
  </si>
  <si>
    <t xml:space="preserve">$2,450 locked for life</t>
  </si>
  <si>
    <t xml:space="preserve">Call to action</t>
  </si>
  <si>
    <t xml:space="preserve">Request an invitation</t>
  </si>
  <si>
    <t xml:space="preserve">Join as a Resident</t>
  </si>
  <si>
    <t xml:space="preserve">Join as an Attending</t>
  </si>
  <si>
    <t xml:space="preserve">Talk to us about Chief</t>
  </si>
  <si>
    <t xml:space="preserve">ROOMS</t>
  </si>
  <si>
    <t xml:space="preserve">Home-province quarterly dinners</t>
  </si>
  <si>
    <t xml:space="preserve">Invited when the room needs you</t>
  </si>
  <si>
    <t xml:space="preserve">Included, all 4</t>
  </si>
  <si>
    <t xml:space="preserve">Out-of-province dinners</t>
  </si>
  <si>
    <t xml:space="preserve">Invited</t>
  </si>
  <si>
    <t xml:space="preserve">Member rate $35</t>
  </si>
  <si>
    <t xml:space="preserve">2 included, then $35</t>
  </si>
  <si>
    <t xml:space="preserve">Included, every city</t>
  </si>
  <si>
    <t xml:space="preserve">Summit day pass</t>
  </si>
  <si>
    <t xml:space="preserve">Invited, hosted</t>
  </si>
  <si>
    <t xml:space="preserve">Member rate $195</t>
  </si>
  <si>
    <t xml:space="preserve">Included</t>
  </si>
  <si>
    <t xml:space="preserve">Included, both cities</t>
  </si>
  <si>
    <t xml:space="preserve">Summit exhibitor booth</t>
  </si>
  <si>
    <t xml:space="preserve">Member rate $1,900</t>
  </si>
  <si>
    <t xml:space="preserve">Member rate $1,450</t>
  </si>
  <si>
    <t xml:space="preserve">Included, 2nd booth $900</t>
  </si>
  <si>
    <t xml:space="preserve">Guest pass for a colleague</t>
  </si>
  <si>
    <t xml:space="preserve">Member rate $45</t>
  </si>
  <si>
    <t xml:space="preserve">1 per year free</t>
  </si>
  <si>
    <t xml:space="preserve">3 per year free</t>
  </si>
  <si>
    <t xml:space="preserve">ONLINE</t>
  </si>
  <si>
    <t xml:space="preserve">Live cohorts and panels</t>
  </si>
  <si>
    <t xml:space="preserve">Yes</t>
  </si>
  <si>
    <t xml:space="preserve">No</t>
  </si>
  <si>
    <t xml:space="preserve">Moderate a cohort</t>
  </si>
  <si>
    <t xml:space="preserve">Propose a cohort topic</t>
  </si>
  <si>
    <t xml:space="preserve">NETWORK</t>
  </si>
  <si>
    <t xml:space="preserve">Directory profile with pitch media</t>
  </si>
  <si>
    <t xml:space="preserve">Nominate a clinician or researcher</t>
  </si>
  <si>
    <t xml:space="preserve">Introduction requests</t>
  </si>
  <si>
    <t xml:space="preserve">On request</t>
  </si>
  <si>
    <t xml:space="preserve">2 per quarter</t>
  </si>
  <si>
    <t xml:space="preserve">Unlimited, fair use</t>
  </si>
  <si>
    <t xml:space="preserve">Seat-preference request</t>
  </si>
  <si>
    <t xml:space="preserve">Partner benefits bundle</t>
  </si>
  <si>
    <t xml:space="preserve">STATUS AND STAGE</t>
  </si>
  <si>
    <t xml:space="preserve">Digital member badge</t>
  </si>
  <si>
    <t xml:space="preserve">Physical member card</t>
  </si>
  <si>
    <t xml:space="preserve">Welcome kit</t>
  </si>
  <si>
    <t xml:space="preserve">Card only</t>
  </si>
  <si>
    <t xml:space="preserve">Yes, plus summit pack</t>
  </si>
  <si>
    <t xml:space="preserve">Full kit</t>
  </si>
  <si>
    <t xml:space="preserve">Printables and merch allocation</t>
  </si>
  <si>
    <t xml:space="preserve">$250 credit</t>
  </si>
  <si>
    <t xml:space="preserve">Summit speaking consideration</t>
  </si>
  <si>
    <t xml:space="preserve">Eligible</t>
  </si>
  <si>
    <t xml:space="preserve">Priority</t>
  </si>
  <si>
    <t xml:space="preserve">Co-host a dinner in your city</t>
  </si>
  <si>
    <t xml:space="preserve">Member wall listing</t>
  </si>
  <si>
    <t xml:space="preserve">Annual composition report</t>
  </si>
  <si>
    <t xml:space="preserve">Early access to dates and tickets</t>
  </si>
  <si>
    <t xml:space="preserve">All prices exclude GST/HST/QST. Every seat, at every tier including Chief, remains subject to composition: a room needs its balance of builders and validators, and no tier can displace that. State this in the terms.</t>
  </si>
  <si>
    <t xml:space="preserve">Item</t>
  </si>
  <si>
    <t xml:space="preserve">Public rate</t>
  </si>
  <si>
    <t xml:space="preserve">Deepest saving versus public</t>
  </si>
  <si>
    <t xml:space="preserve">Quarterly dinner, home province</t>
  </si>
  <si>
    <t xml:space="preserve">$70</t>
  </si>
  <si>
    <t xml:space="preserve">$0, hosted</t>
  </si>
  <si>
    <t xml:space="preserve">$280 per year</t>
  </si>
  <si>
    <t xml:space="preserve">Quarterly dinner, other province</t>
  </si>
  <si>
    <t xml:space="preserve">$35</t>
  </si>
  <si>
    <t xml:space="preserve">$1,120 if all cities</t>
  </si>
  <si>
    <t xml:space="preserve">$395</t>
  </si>
  <si>
    <t xml:space="preserve">$195</t>
  </si>
  <si>
    <t xml:space="preserve">$790 for two passes</t>
  </si>
  <si>
    <t xml:space="preserve">$2,500</t>
  </si>
  <si>
    <t xml:space="preserve">$1,900</t>
  </si>
  <si>
    <t xml:space="preserve">$1,450</t>
  </si>
  <si>
    <t xml:space="preserve">Included, 2nd at $900</t>
  </si>
  <si>
    <t xml:space="preserve">$2,500 on the first booth</t>
  </si>
  <si>
    <t xml:space="preserve">1 free, then $45</t>
  </si>
  <si>
    <t xml:space="preserve">3 free, then $45</t>
  </si>
  <si>
    <t xml:space="preserve">$210</t>
  </si>
  <si>
    <t xml:space="preserve">Cohort recordings</t>
  </si>
  <si>
    <t xml:space="preserve">not sold</t>
  </si>
  <si>
    <t xml:space="preserve">no</t>
  </si>
  <si>
    <t xml:space="preserve">yes</t>
  </si>
  <si>
    <t xml:space="preserve">Printables and merch</t>
  </si>
  <si>
    <t xml:space="preserve">retail</t>
  </si>
  <si>
    <t xml:space="preserve">The member rate is the whole mechanism. Low-ticket items (dinners) are included outright because inclusion drives attendance and attendance is the product. High-ticket items (summit, booth) are discounted rather than included, so heavy commercial users still contribute revenue in proportion to what they extract.</t>
  </si>
  <si>
    <t xml:space="preserve">Annual fee</t>
  </si>
  <si>
    <t xml:space="preserve">Dinners available</t>
  </si>
  <si>
    <t xml:space="preserve">Dinners, typical</t>
  </si>
  <si>
    <t xml:space="preserve">Dinners, full</t>
  </si>
  <si>
    <t xml:space="preserve">Summits, typical</t>
  </si>
  <si>
    <t xml:space="preserve">Cost TYPICAL, unsponsored</t>
  </si>
  <si>
    <t xml:space="preserve">Margin TYPICAL, unsponsored</t>
  </si>
  <si>
    <t xml:space="preserve">Cost FULL, unsponsored</t>
  </si>
  <si>
    <t xml:space="preserve">Margin FULL, unsponsored</t>
  </si>
  <si>
    <t xml:space="preserve">Cost TYPICAL, sponsored</t>
  </si>
  <si>
    <t xml:space="preserve">Margin TYPICAL, sponsored</t>
  </si>
  <si>
    <t xml:space="preserve">invite only</t>
  </si>
  <si>
    <t xml:space="preserve">Read the two right-hand columns first. With sponsored or partner-hosted dinners every paid tier clears a healthy margin even at full redemption. With unsponsored dinners, Resident goes negative at full redemption and Attending runs on a thin line. Guest cost is not a loss, it is the cost of the gravity that makes every other tier sellable.</t>
  </si>
  <si>
    <t xml:space="preserve">Typical redemption assumptions: a member attends 2.3 of 4 quarterly dinners in their own city, Attending members add 0.6 away dinners, 70 percent of included summit passes are used, Chief members attend 6 dinners nationally. Adjust these directly in columns D to F and every margin recalculates.</t>
  </si>
  <si>
    <t xml:space="preserve">Scenario</t>
  </si>
  <si>
    <t xml:space="preserve">What they do in a year</t>
  </si>
  <si>
    <t xml:space="preserve">Cost the public way</t>
  </si>
  <si>
    <t xml:space="preserve">Cost as a member</t>
  </si>
  <si>
    <t xml:space="preserve">Membership fee</t>
  </si>
  <si>
    <t xml:space="preserve">Total member outlay</t>
  </si>
  <si>
    <t xml:space="preserve">They save</t>
  </si>
  <si>
    <t xml:space="preserve">Saving %</t>
  </si>
  <si>
    <t xml:space="preserve">Toronto bootstrapped founder, Resident</t>
  </si>
  <si>
    <t xml:space="preserve">4 Toronto dinners, attends the summit, no booth</t>
  </si>
  <si>
    <t xml:space="preserve">Montreal founder exhibiting, Attending</t>
  </si>
  <si>
    <t xml:space="preserve">4 Montreal dinners, 2 Toronto dinners, summit, one booth</t>
  </si>
  <si>
    <t xml:space="preserve">Vancouver scale-up, Chief</t>
  </si>
  <si>
    <t xml:space="preserve">8 dinners across cities, both summits, booth in Toronto and Vancouver</t>
  </si>
  <si>
    <t xml:space="preserve">Toronto physician, Guest</t>
  </si>
  <si>
    <t xml:space="preserve">2 dinners as an invited guest, attends the summit</t>
  </si>
  <si>
    <t xml:space="preserve">Clinician who upgrades, Resident</t>
  </si>
  <si>
    <t xml:space="preserve">4 dinners in her province, summit, brings a colleague once</t>
  </si>
  <si>
    <t xml:space="preserve">The Resident story is the cleanest one for the landing page: four dinner tickets at the door cost $280. Membership is $290 and includes all four, plus the cohorts, the directory, the introductions, the partner benefits and a member rate on everything else. You are paying the price of the dinners you were already going to attend and getting the rest of the network free.</t>
  </si>
  <si>
    <t xml:space="preserve">The Guest row is the one to show clinicians. They receive $535 of access and pay nothing, permanently, because their presence is what the paying tiers are buying proximity to.</t>
  </si>
  <si>
    <t xml:space="preserve">Line</t>
  </si>
  <si>
    <t xml:space="preserve">Count / value</t>
  </si>
  <si>
    <t xml:space="preserve">Notes</t>
  </si>
  <si>
    <t xml:space="preserve">Guest members (free)</t>
  </si>
  <si>
    <t xml:space="preserve">Blue cells are your planning inputs. Hold roughly 1.5 guests per paying member or composition breaks.</t>
  </si>
  <si>
    <t xml:space="preserve">Resident members</t>
  </si>
  <si>
    <t xml:space="preserve">45 percent of paying members.</t>
  </si>
  <si>
    <t xml:space="preserve">Attending members</t>
  </si>
  <si>
    <t xml:space="preserve">40 percent of paying members. This is the tier to push.</t>
  </si>
  <si>
    <t xml:space="preserve">Chief members</t>
  </si>
  <si>
    <t xml:space="preserve">15 percent of paying members.</t>
  </si>
  <si>
    <t xml:space="preserve">Total paying members</t>
  </si>
  <si>
    <t xml:space="preserve">Formula. Launch-year volumes, not steady state.</t>
  </si>
  <si>
    <t xml:space="preserve">Membership revenue</t>
  </si>
  <si>
    <t xml:space="preserve">Formula against the ladder in tab 3.</t>
  </si>
  <si>
    <t xml:space="preserve">Dinners run in the year</t>
  </si>
  <si>
    <t xml:space="preserve">Ramped, not 20. Toronto quarterly from Q1, two more cities from mid-year.</t>
  </si>
  <si>
    <t xml:space="preserve">Average seats filled per dinner</t>
  </si>
  <si>
    <t xml:space="preserve">Total dinner seats delivered</t>
  </si>
  <si>
    <t xml:space="preserve">Dinner delivery cost at the blended seat rate</t>
  </si>
  <si>
    <t xml:space="preserve">Per-dinner sponsorship needed to cover food</t>
  </si>
  <si>
    <t xml:space="preserve">Formula. Compare against the $3,000 to $7,500 per-dinner band. Landing inside it means one sponsor funds one dinner.</t>
  </si>
  <si>
    <t xml:space="preserve">Summit attendees, one summit in year one</t>
  </si>
  <si>
    <t xml:space="preserve">Toronto only in year one. Vancouver joins in year two.</t>
  </si>
  <si>
    <t xml:space="preserve">Summit delivery cost</t>
  </si>
  <si>
    <t xml:space="preserve">Summit ticket and booth revenue</t>
  </si>
  <si>
    <t xml:space="preserve">Assumption. Rebuild seat by seat once the venue is chosen.</t>
  </si>
  <si>
    <t xml:space="preserve">Membership revenue net of kits and platform</t>
  </si>
  <si>
    <t xml:space="preserve">Programme surplus before any sponsorship</t>
  </si>
  <si>
    <t xml:space="preserve">Formula. Positive is a surplus, negative is the gap sponsorship must close.</t>
  </si>
  <si>
    <t xml:space="preserve">Sponsorship secured (anchor, category, per dinner)</t>
  </si>
  <si>
    <t xml:space="preserve">Assumption: one anchor at the low end plus two category partners.</t>
  </si>
  <si>
    <t xml:space="preserve">Year one contribution after sponsorship</t>
  </si>
  <si>
    <t xml:space="preserve">Formula. This is the number that funds year two.</t>
  </si>
  <si>
    <t xml:space="preserve">Two findings to read here. First, the per-dinner sponsorship figure in row 12 lands inside the band already in the business model, so one sponsor funds one dinner cleanly. Second, at these launch volumes the programme is close to self-funding before sponsorship, which means sponsorship money is growth capital rather than survival money. Push the member counts down by half and re-read row 17 to see the pessimistic case.</t>
  </si>
  <si>
    <t xml:space="preserve">Set</t>
  </si>
  <si>
    <t xml:space="preserve">Free tier</t>
  </si>
  <si>
    <t xml:space="preserve">Entry paid</t>
  </si>
  <si>
    <t xml:space="preserve">Hero</t>
  </si>
  <si>
    <t xml:space="preserve">Why it works</t>
  </si>
  <si>
    <t xml:space="preserve">Watch out for</t>
  </si>
  <si>
    <t xml:space="preserve">A. Clinical ladder (RECOMMENDED)</t>
  </si>
  <si>
    <t xml:space="preserve">It borrows the hospital career ladder, so every clinician reads the hierarchy instantly, and Attending is a genuine double meaning: the senior clinical rank and the person who attends. Uniquely medtech, impossible to confuse with a software plan, and it flatters the audience you most need in the room.</t>
  </si>
  <si>
    <t xml:space="preserve">A founder holding the title Attending could feel like appropriation to some physicians. Test it with three clinicians before committing.</t>
  </si>
  <si>
    <t xml:space="preserve">B. The table</t>
  </si>
  <si>
    <t xml:space="preserve">Seat</t>
  </si>
  <si>
    <t xml:space="preserve">Table</t>
  </si>
  <si>
    <t xml:space="preserve">Host</t>
  </si>
  <si>
    <t xml:space="preserve">Sits directly on the brand language already built into the site and the keynote: room, table, seat, composition. Safest option, zero interpretation risk, and Host is a genuinely aspirational top tier because it comes with co-hosting rights.</t>
  </si>
  <si>
    <t xml:space="preserve">Less distinctive. Seat and Table are close enough in meaning that the ladder is not self-evident from the names alone.</t>
  </si>
  <si>
    <t xml:space="preserve">C. Scope</t>
  </si>
  <si>
    <t xml:space="preserve">Chapter</t>
  </si>
  <si>
    <t xml:space="preserve">National</t>
  </si>
  <si>
    <t xml:space="preserve">Founding Circle</t>
  </si>
  <si>
    <t xml:space="preserve">The names describe exactly what you get: your local chapter, the whole country, the inner circle. Nothing to explain on the pricing page.</t>
  </si>
  <si>
    <t xml:space="preserve">Functional rather than memorable. It reads like a telecom plan and gives up the brand texture.</t>
  </si>
  <si>
    <t xml:space="preserve">Recommendation: Set A, with Set B as the fallback if the clinician test comes back uneasy. Whichever you pick, keep Guest as the free tier name in all three. It is the single most important word in the pricing page because it frames free as hosted status rather than as a discount.</t>
  </si>
  <si>
    <t xml:space="preserve">Position</t>
  </si>
  <si>
    <t xml:space="preserve">Detail</t>
  </si>
  <si>
    <t xml:space="preserve">Tax treatment</t>
  </si>
  <si>
    <t xml:space="preserve">All prices are tax exclusive</t>
  </si>
  <si>
    <t xml:space="preserve">Display every price as "CAD, plus applicable taxes". Sales tax is charged at the rate of the province where the member is located, not where the dinner is held.</t>
  </si>
  <si>
    <t xml:space="preserve">Ontario</t>
  </si>
  <si>
    <t xml:space="preserve">13% HST</t>
  </si>
  <si>
    <t xml:space="preserve">A $790 Attending membership bills at $892.70.</t>
  </si>
  <si>
    <t xml:space="preserve">British Columbia</t>
  </si>
  <si>
    <t xml:space="preserve">5% GST</t>
  </si>
  <si>
    <t xml:space="preserve">$790 bills at $829.50. Confirm whether BC PST applies to a membership of this type.</t>
  </si>
  <si>
    <t xml:space="preserve">Alberta</t>
  </si>
  <si>
    <t xml:space="preserve">$790 bills at $829.50.</t>
  </si>
  <si>
    <t xml:space="preserve">Quebec</t>
  </si>
  <si>
    <t xml:space="preserve">5% GST + 9.975% QST</t>
  </si>
  <si>
    <t xml:space="preserve">$790 bills at $908.30. Quebec requires separate QST registration.</t>
  </si>
  <si>
    <t xml:space="preserve">Registration threshold</t>
  </si>
  <si>
    <t xml:space="preserve">Register before you cross it</t>
  </si>
  <si>
    <t xml:space="preserve">The small supplier threshold is $30,000 in taxable revenue across four consecutive calendar quarters. This model crosses it in the first year, so register for a GST/HST number before the first membership is sold rather than backdating later.</t>
  </si>
  <si>
    <t xml:space="preserve">Event tickets</t>
  </si>
  <si>
    <t xml:space="preserve">Taxable the same way</t>
  </si>
  <si>
    <t xml:space="preserve">Dinner tickets, summit passes and exhibitor booths all carry tax at the buyer province rate.</t>
  </si>
  <si>
    <t xml:space="preserve">Not tax advice</t>
  </si>
  <si>
    <t xml:space="preserve">Confirm with an accountant</t>
  </si>
  <si>
    <t xml:space="preserve">Rates and the treatment of memberships versus event admissions should be confirmed with a Canadian accountant before the pricing page goes live.</t>
  </si>
  <si>
    <t xml:space="preserve">Monthly membership guard</t>
  </si>
  <si>
    <t xml:space="preserve">60 day qualifying period</t>
  </si>
  <si>
    <t xml:space="preserve">A monthly member becomes eligible for an included dinner seat after 60 days of continuous membership, or pays the $35 member rate before that. Without this rule someone joins for $29, takes a $70 seat, and cancels.</t>
  </si>
  <si>
    <t xml:space="preserve">Composition clause</t>
  </si>
  <si>
    <t xml:space="preserve">Seats are always subject to balance</t>
  </si>
  <si>
    <t xml:space="preserve">State plainly in the terms: every seat at every tier, including Chief, is subject to the composition of the room. If a dinner needs clinicians in the remaining seats, no membership tier overrides that. This protects the product and naturally caps redemption.</t>
  </si>
  <si>
    <t xml:space="preserve">Guest eligibility</t>
  </si>
  <si>
    <t xml:space="preserve">No commercial product or service</t>
  </si>
  <si>
    <t xml:space="preserve">Guest is for people who do not sell into this ecosystem. If a Guest founds a company or joins a vendor, they move to a paid tier at the next renewal, with a 90 day grace period. Review at application, not by self-declaration.</t>
  </si>
  <si>
    <t xml:space="preserve">Refunds and transfers</t>
  </si>
  <si>
    <t xml:space="preserve">No refunds, free transfers</t>
  </si>
  <si>
    <t xml:space="preserve">Memberships are non-refundable but a dinner seat can be transferred to a colleague at no cost with 72 hours notice. Transfers keep rooms full and cost nothing.</t>
  </si>
  <si>
    <t xml:space="preserve">No-show policy</t>
  </si>
  <si>
    <t xml:space="preserve">Two strikes</t>
  </si>
  <si>
    <t xml:space="preserve">Two unattended reserved seats in a year moves a member to the waitlist for the following quarter. This is the mechanism that keeps composition honest.</t>
  </si>
  <si>
    <t xml:space="preserve">Founding rate</t>
  </si>
  <si>
    <t xml:space="preserve">First 100 paid members, locked for life</t>
  </si>
  <si>
    <t xml:space="preserve">Creates urgency at launch and rewards the people who joined before there was proof. Honour the lock permanently, including through future price rises.</t>
  </si>
  <si>
    <t xml:space="preserve">Area</t>
  </si>
  <si>
    <t xml:space="preserve">What to build</t>
  </si>
  <si>
    <t xml:space="preserve">Where it goes in the existing repo</t>
  </si>
  <si>
    <t xml:space="preserve">Tier field</t>
  </si>
  <si>
    <t xml:space="preserve">Add tier (guest | resident | attending | chief), tier_started_at, tier_renews_at, founding_rate boolean</t>
  </si>
  <si>
    <t xml:space="preserve">New migration 0008, or the existing attributes jsonb on members if you want to avoid a schema change first</t>
  </si>
  <si>
    <t xml:space="preserve">Eligibility rule</t>
  </si>
  <si>
    <t xml:space="preserve">Map member_type to tier eligibility: Physician, Dentist, Pharmacist, Nurse/Allied Health, Researcher/Academic, Policy/Government and Student are Guest eligible. Founder/Operator, Investor, Corporate/Strategic and Service Provider require a paid tier</t>
  </si>
  <si>
    <t xml:space="preserve">lib/directory/taxonomy.ts, alongside fieldsForType and requiredKeysForType</t>
  </si>
  <si>
    <t xml:space="preserve">Dual-role edge case</t>
  </si>
  <si>
    <t xml:space="preserve">A physician who is also a founder (is_founder true) pays for the venture but keeps hosted seating when attending in a clinical capacity. Store the reason in attributes.tier_source</t>
  </si>
  <si>
    <t xml:space="preserve">lib/directory/record.ts, in buildMemberRecord</t>
  </si>
  <si>
    <t xml:space="preserve">Seat ledger</t>
  </si>
  <si>
    <t xml:space="preserve">Track redemption per member per year: dinners_redeemed, summit_redeemed, guest_passes_used. This is what makes the margin model real instead of theoretical</t>
  </si>
  <si>
    <t xml:space="preserve">New table memberships_redemption, or attributes jsonb for the first two quarters</t>
  </si>
  <si>
    <t xml:space="preserve">Rate card enforcement</t>
  </si>
  <si>
    <t xml:space="preserve">Price a dinner or summit seat by looking up tier, then applying the rate card in tab 5</t>
  </si>
  <si>
    <t xml:space="preserve">New lib/pricing/rate-card.ts, single source of truth</t>
  </si>
  <si>
    <t xml:space="preserve">Admin view</t>
  </si>
  <si>
    <t xml:space="preserve">Show tier, renewal date and seats redeemed on each member row so composition and margin are visible at a glance</t>
  </si>
  <si>
    <t xml:space="preserve">app/admin/AdminClient.tsx</t>
  </si>
  <si>
    <t xml:space="preserve">Pricing page</t>
  </si>
  <si>
    <t xml:space="preserve">Render tab 4 as the public pricing table with the Attending column flagged</t>
  </si>
  <si>
    <t xml:space="preserve">New app/membership/page.tsx, reusing the existing --mn-* tokens</t>
  </si>
  <si>
    <t xml:space="preserve">Payments</t>
  </si>
  <si>
    <t xml:space="preserve">Not yet built. Stripe with annual and monthly prices, plus the 60 day guard on monthly dinner eligibility</t>
  </si>
  <si>
    <t xml:space="preserve">Backlog item, after migration 0007 is run</t>
  </si>
  <si>
    <t xml:space="preserve">Blocker unchanged</t>
  </si>
  <si>
    <t xml:space="preserve">Migration 0007_expand_member_metadata.sql still needs to run in Supabase before any of this</t>
  </si>
  <si>
    <t xml:space="preserve">Noted in the handoff as the outstanding action</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</si>
</sst>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color rgb="FF1A1A1A"/>
      <name val="Arial"/>
      <family val="0"/>
      <charset val="1"/>
    </font>
    <font>
      <i val="true"/>
      <sz val="9"/>
      <color rgb="FFB05A00"/>
      <name val="Arial"/>
      <family val="0"/>
      <charset val="1"/>
    </font>
    <font>
      <b val="true"/>
      <sz val="13"/>
      <color rgb="FF16191D"/>
      <name val="Arial"/>
      <family val="0"/>
      <charset val="1"/>
    </font>
    <font>
      <b val="true"/>
      <sz val="11"/>
      <color rgb="FFFFFFFF"/>
      <name val="Arial"/>
      <family val="0"/>
      <charset val="1"/>
    </font>
    <font>
      <sz val="10"/>
      <color rgb="FF0000CC"/>
      <name val="Arial"/>
      <family val="0"/>
      <charset val="1"/>
    </font>
    <font>
      <b val="true"/>
      <sz val="10"/>
      <color rgb="FF1A1A1A"/>
      <name val="Arial"/>
      <family val="0"/>
      <charset val="1"/>
    </font>
    <font>
      <b val="true"/>
      <sz val="10"/>
      <color rgb="FF0000CC"/>
      <name val="Arial"/>
      <family val="0"/>
      <charset val="1"/>
    </font>
    <font>
      <b val="true"/>
      <sz val="10"/>
      <color rgb="FFC41230"/>
      <name val="Arial"/>
      <family val="0"/>
      <charset val="1"/>
    </font>
  </fonts>
  <fills count="5">
    <fill>
      <patternFill patternType="none"/>
    </fill>
    <fill>
      <patternFill patternType="gray125"/>
    </fill>
    <fill>
      <patternFill patternType="solid">
        <fgColor rgb="FF16191D"/>
        <bgColor rgb="FF1A1A1A"/>
      </patternFill>
    </fill>
    <fill>
      <patternFill patternType="solid">
        <fgColor rgb="FFC41230"/>
        <bgColor rgb="FF993366"/>
      </patternFill>
    </fill>
    <fill>
      <patternFill patternType="solid">
        <fgColor rgb="FFF2F2F2"/>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41230"/>
      <rgbColor rgb="FF00FF00"/>
      <rgbColor rgb="FF0000CC"/>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6191D"/>
      <rgbColor rgb="FF333300"/>
      <rgbColor rgb="FFB05A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4"/>
    <col collapsed="false" customWidth="true" hidden="false" outlineLevel="0" max="3" min="3" style="1" width="84"/>
  </cols>
  <sheetData>
    <row r="1" customFormat="false" ht="15" hidden="false" customHeight="true" outlineLevel="0" collapsed="false">
      <c r="A1" s="2" t="s">
        <v>0</v>
      </c>
      <c r="B1" s="2" t="s">
        <v>1</v>
      </c>
      <c r="C1" s="2" t="s">
        <v>2</v>
      </c>
    </row>
    <row r="2" customFormat="false" ht="23.25" hidden="false" customHeight="true" outlineLevel="0" collapsed="false">
      <c r="A2" s="3" t="s">
        <v>3</v>
      </c>
      <c r="B2" s="3" t="s">
        <v>4</v>
      </c>
      <c r="C2" s="3" t="s">
        <v>5</v>
      </c>
    </row>
    <row r="3" customFormat="false" ht="23.25" hidden="false" customHeight="true" outlineLevel="0" collapsed="false">
      <c r="A3" s="3" t="s">
        <v>6</v>
      </c>
      <c r="B3" s="3" t="s">
        <v>7</v>
      </c>
      <c r="C3" s="3" t="s">
        <v>8</v>
      </c>
    </row>
    <row r="4" customFormat="false" ht="23.25" hidden="false" customHeight="true" outlineLevel="0" collapsed="false">
      <c r="A4" s="3" t="s">
        <v>9</v>
      </c>
      <c r="B4" s="3" t="s">
        <v>10</v>
      </c>
      <c r="C4" s="3" t="s">
        <v>11</v>
      </c>
    </row>
    <row r="5" customFormat="false" ht="34.5" hidden="false" customHeight="true" outlineLevel="0" collapsed="false">
      <c r="A5" s="3" t="s">
        <v>12</v>
      </c>
      <c r="B5" s="3" t="s">
        <v>13</v>
      </c>
      <c r="C5" s="3" t="s">
        <v>14</v>
      </c>
    </row>
    <row r="6" customFormat="false" ht="34.5" hidden="false" customHeight="true" outlineLevel="0" collapsed="false">
      <c r="A6" s="3" t="s">
        <v>15</v>
      </c>
      <c r="B6" s="3" t="s">
        <v>16</v>
      </c>
      <c r="C6" s="3" t="s">
        <v>17</v>
      </c>
    </row>
    <row r="7" customFormat="false" ht="34.5" hidden="false" customHeight="true" outlineLevel="0" collapsed="false">
      <c r="A7" s="3" t="s">
        <v>18</v>
      </c>
      <c r="B7" s="3" t="s">
        <v>19</v>
      </c>
      <c r="C7" s="3" t="s">
        <v>20</v>
      </c>
    </row>
    <row r="8" customFormat="false" ht="34.5" hidden="false" customHeight="true" outlineLevel="0" collapsed="false">
      <c r="A8" s="3" t="s">
        <v>21</v>
      </c>
      <c r="B8" s="3" t="s">
        <v>22</v>
      </c>
      <c r="C8" s="3" t="s">
        <v>23</v>
      </c>
    </row>
    <row r="9" customFormat="false" ht="34.5" hidden="false" customHeight="true" outlineLevel="0" collapsed="false">
      <c r="A9" s="3" t="s">
        <v>24</v>
      </c>
      <c r="B9" s="3" t="s">
        <v>25</v>
      </c>
      <c r="C9" s="3" t="s">
        <v>26</v>
      </c>
    </row>
    <row r="10" customFormat="false" ht="45.75" hidden="false" customHeight="true" outlineLevel="0" collapsed="false">
      <c r="A10" s="3" t="s">
        <v>27</v>
      </c>
      <c r="B10" s="3" t="s">
        <v>28</v>
      </c>
      <c r="C10" s="3" t="s">
        <v>29</v>
      </c>
    </row>
    <row r="11" customFormat="false" ht="34.5" hidden="false" customHeight="true" outlineLevel="0" collapsed="false">
      <c r="A11" s="3" t="s">
        <v>30</v>
      </c>
      <c r="B11" s="3" t="s">
        <v>31</v>
      </c>
      <c r="C11" s="3"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4"/>
    <col collapsed="false" customWidth="true" hidden="false" outlineLevel="0" max="3" min="3" style="1" width="20"/>
    <col collapsed="false" customWidth="true" hidden="false" outlineLevel="0" max="4" min="4" style="1" width="16"/>
    <col collapsed="false" customWidth="true" hidden="false" outlineLevel="0" max="5" min="5" style="1" width="18"/>
    <col collapsed="false" customWidth="true" hidden="false" outlineLevel="0" max="7" min="6" style="1" width="15"/>
    <col collapsed="false" customWidth="true" hidden="false" outlineLevel="0" max="8" min="8" style="1" width="20"/>
  </cols>
  <sheetData>
    <row r="1" customFormat="false" ht="23.25" hidden="false" customHeight="true" outlineLevel="0" collapsed="false">
      <c r="A1" s="2" t="s">
        <v>33</v>
      </c>
      <c r="B1" s="2" t="s">
        <v>34</v>
      </c>
      <c r="C1" s="2" t="s">
        <v>35</v>
      </c>
      <c r="D1" s="2" t="s">
        <v>36</v>
      </c>
      <c r="E1" s="2" t="s">
        <v>37</v>
      </c>
      <c r="F1" s="2" t="s">
        <v>38</v>
      </c>
      <c r="G1" s="2" t="s">
        <v>39</v>
      </c>
      <c r="H1" s="2" t="s">
        <v>40</v>
      </c>
    </row>
    <row r="2" customFormat="false" ht="15" hidden="false" customHeight="true" outlineLevel="0" collapsed="false">
      <c r="A2" s="3" t="s">
        <v>41</v>
      </c>
      <c r="B2" s="3" t="s">
        <v>42</v>
      </c>
      <c r="C2" s="3" t="s">
        <v>43</v>
      </c>
      <c r="D2" s="3" t="s">
        <v>44</v>
      </c>
      <c r="E2" s="3" t="s">
        <v>45</v>
      </c>
      <c r="F2" s="3" t="s">
        <v>46</v>
      </c>
      <c r="G2" s="3" t="s">
        <v>47</v>
      </c>
      <c r="H2" s="3" t="s">
        <v>48</v>
      </c>
    </row>
    <row r="3" customFormat="false" ht="23.25" hidden="false" customHeight="true" outlineLevel="0" collapsed="false">
      <c r="A3" s="3" t="s">
        <v>49</v>
      </c>
      <c r="B3" s="3" t="s">
        <v>50</v>
      </c>
      <c r="C3" s="3" t="s">
        <v>51</v>
      </c>
      <c r="D3" s="3" t="s">
        <v>52</v>
      </c>
      <c r="E3" s="3" t="s">
        <v>45</v>
      </c>
      <c r="F3" s="3" t="s">
        <v>53</v>
      </c>
      <c r="G3" s="3" t="s">
        <v>47</v>
      </c>
      <c r="H3" s="3" t="s">
        <v>54</v>
      </c>
    </row>
    <row r="4" customFormat="false" ht="23.25" hidden="false" customHeight="true" outlineLevel="0" collapsed="false">
      <c r="A4" s="3" t="s">
        <v>55</v>
      </c>
      <c r="B4" s="3" t="s">
        <v>56</v>
      </c>
      <c r="C4" s="3" t="s">
        <v>51</v>
      </c>
      <c r="D4" s="3" t="s">
        <v>44</v>
      </c>
      <c r="E4" s="3" t="s">
        <v>45</v>
      </c>
      <c r="F4" s="3" t="s">
        <v>46</v>
      </c>
      <c r="G4" s="3" t="s">
        <v>57</v>
      </c>
      <c r="H4" s="3" t="s">
        <v>58</v>
      </c>
    </row>
    <row r="5" customFormat="false" ht="15" hidden="false" customHeight="true" outlineLevel="0" collapsed="false">
      <c r="A5" s="3" t="s">
        <v>59</v>
      </c>
      <c r="B5" s="3" t="s">
        <v>42</v>
      </c>
      <c r="C5" s="3" t="s">
        <v>60</v>
      </c>
      <c r="D5" s="3" t="s">
        <v>61</v>
      </c>
      <c r="E5" s="3" t="s">
        <v>45</v>
      </c>
      <c r="F5" s="3" t="s">
        <v>62</v>
      </c>
      <c r="G5" s="3" t="s">
        <v>47</v>
      </c>
      <c r="H5" s="3" t="s">
        <v>63</v>
      </c>
    </row>
    <row r="6" customFormat="false" ht="15" hidden="false" customHeight="true" outlineLevel="0" collapsed="false">
      <c r="A6" s="3" t="s">
        <v>64</v>
      </c>
      <c r="B6" s="3" t="s">
        <v>42</v>
      </c>
      <c r="C6" s="3" t="s">
        <v>43</v>
      </c>
      <c r="D6" s="3" t="s">
        <v>44</v>
      </c>
      <c r="E6" s="3" t="s">
        <v>45</v>
      </c>
      <c r="F6" s="3" t="s">
        <v>46</v>
      </c>
      <c r="G6" s="3" t="s">
        <v>47</v>
      </c>
      <c r="H6" s="3" t="s">
        <v>65</v>
      </c>
    </row>
    <row r="7" customFormat="false" ht="15" hidden="false" customHeight="true" outlineLevel="0" collapsed="false">
      <c r="A7" s="3" t="s">
        <v>66</v>
      </c>
      <c r="B7" s="3" t="s">
        <v>50</v>
      </c>
      <c r="C7" s="3" t="s">
        <v>60</v>
      </c>
      <c r="D7" s="3" t="s">
        <v>67</v>
      </c>
      <c r="E7" s="3" t="s">
        <v>45</v>
      </c>
      <c r="F7" s="3" t="s">
        <v>62</v>
      </c>
      <c r="G7" s="3" t="s">
        <v>47</v>
      </c>
      <c r="H7" s="3" t="s">
        <v>65</v>
      </c>
    </row>
    <row r="8" customFormat="false" ht="15" hidden="false" customHeight="true" outlineLevel="0" collapsed="false">
      <c r="A8" s="3" t="s">
        <v>68</v>
      </c>
      <c r="B8" s="3" t="s">
        <v>56</v>
      </c>
      <c r="C8" s="3" t="s">
        <v>51</v>
      </c>
      <c r="D8" s="3" t="s">
        <v>44</v>
      </c>
      <c r="E8" s="3" t="s">
        <v>69</v>
      </c>
      <c r="F8" s="3" t="s">
        <v>46</v>
      </c>
      <c r="G8" s="3" t="s">
        <v>70</v>
      </c>
      <c r="H8" s="3" t="s">
        <v>71</v>
      </c>
    </row>
    <row r="9" customFormat="false" ht="15" hidden="false" customHeight="true" outlineLevel="0" collapsed="false">
      <c r="A9" s="3" t="s">
        <v>72</v>
      </c>
      <c r="B9" s="3" t="s">
        <v>42</v>
      </c>
      <c r="C9" s="3" t="s">
        <v>60</v>
      </c>
      <c r="D9" s="3" t="s">
        <v>61</v>
      </c>
      <c r="E9" s="3" t="s">
        <v>45</v>
      </c>
      <c r="F9" s="3" t="s">
        <v>62</v>
      </c>
      <c r="G9" s="3" t="s">
        <v>70</v>
      </c>
      <c r="H9" s="3" t="s">
        <v>63</v>
      </c>
    </row>
    <row r="10" customFormat="false" ht="15" hidden="false" customHeight="true" outlineLevel="0" collapsed="false">
      <c r="A10" s="3" t="s">
        <v>73</v>
      </c>
      <c r="B10" s="3" t="s">
        <v>50</v>
      </c>
      <c r="C10" s="3" t="s">
        <v>43</v>
      </c>
      <c r="D10" s="3" t="s">
        <v>52</v>
      </c>
      <c r="E10" s="3" t="s">
        <v>69</v>
      </c>
      <c r="F10" s="3" t="s">
        <v>53</v>
      </c>
      <c r="G10" s="3" t="s">
        <v>70</v>
      </c>
      <c r="H10" s="3" t="s">
        <v>74</v>
      </c>
    </row>
    <row r="11" customFormat="false" ht="15" hidden="false" customHeight="true" outlineLevel="0" collapsed="false">
      <c r="A11" s="3" t="s">
        <v>75</v>
      </c>
      <c r="B11" s="3" t="s">
        <v>50</v>
      </c>
      <c r="C11" s="3" t="s">
        <v>60</v>
      </c>
      <c r="D11" s="3" t="s">
        <v>67</v>
      </c>
      <c r="E11" s="3" t="s">
        <v>45</v>
      </c>
      <c r="F11" s="3" t="s">
        <v>62</v>
      </c>
      <c r="G11" s="3" t="s">
        <v>70</v>
      </c>
      <c r="H11" s="3" t="s">
        <v>76</v>
      </c>
    </row>
    <row r="12" customFormat="false" ht="15" hidden="false" customHeight="true" outlineLevel="0" collapsed="false">
      <c r="A12" s="3" t="s">
        <v>77</v>
      </c>
      <c r="B12" s="3" t="s">
        <v>56</v>
      </c>
      <c r="C12" s="3" t="s">
        <v>60</v>
      </c>
      <c r="D12" s="3" t="s">
        <v>61</v>
      </c>
      <c r="E12" s="3" t="s">
        <v>69</v>
      </c>
      <c r="F12" s="3" t="s">
        <v>62</v>
      </c>
      <c r="G12" s="3" t="s">
        <v>70</v>
      </c>
      <c r="H12" s="3" t="s">
        <v>78</v>
      </c>
    </row>
    <row r="13" customFormat="false" ht="15" hidden="false" customHeight="true" outlineLevel="0" collapsed="false">
      <c r="A13" s="3" t="s">
        <v>79</v>
      </c>
      <c r="B13" s="3" t="s">
        <v>50</v>
      </c>
      <c r="C13" s="3" t="s">
        <v>60</v>
      </c>
      <c r="D13" s="3" t="s">
        <v>52</v>
      </c>
      <c r="E13" s="3" t="s">
        <v>80</v>
      </c>
      <c r="F13" s="3" t="s">
        <v>62</v>
      </c>
      <c r="G13" s="3" t="s">
        <v>70</v>
      </c>
      <c r="H13" s="3" t="s">
        <v>78</v>
      </c>
    </row>
    <row r="14" customFormat="false" ht="23.25" hidden="false" customHeight="true" outlineLevel="0" collapsed="false">
      <c r="A14" s="3" t="s">
        <v>81</v>
      </c>
      <c r="B14" s="3" t="s">
        <v>56</v>
      </c>
      <c r="C14" s="3" t="s">
        <v>51</v>
      </c>
      <c r="D14" s="3" t="s">
        <v>44</v>
      </c>
      <c r="E14" s="3" t="s">
        <v>69</v>
      </c>
      <c r="F14" s="3" t="s">
        <v>46</v>
      </c>
      <c r="G14" s="3" t="s">
        <v>70</v>
      </c>
      <c r="H14" s="3" t="s">
        <v>82</v>
      </c>
    </row>
    <row r="15" customFormat="false" ht="23.25" hidden="false" customHeight="true" outlineLevel="0" collapsed="false">
      <c r="A15" s="3" t="s">
        <v>83</v>
      </c>
      <c r="B15" s="3" t="s">
        <v>56</v>
      </c>
      <c r="C15" s="3" t="s">
        <v>43</v>
      </c>
      <c r="D15" s="3" t="s">
        <v>44</v>
      </c>
      <c r="E15" s="3" t="s">
        <v>69</v>
      </c>
      <c r="F15" s="3" t="s">
        <v>46</v>
      </c>
      <c r="G15" s="3" t="s">
        <v>70</v>
      </c>
      <c r="H15" s="3" t="s">
        <v>84</v>
      </c>
    </row>
    <row r="16" customFormat="false" ht="15" hidden="false" customHeight="true" outlineLevel="0" collapsed="false">
      <c r="A16" s="3" t="s">
        <v>85</v>
      </c>
      <c r="B16" s="3" t="s">
        <v>42</v>
      </c>
      <c r="C16" s="3" t="s">
        <v>60</v>
      </c>
      <c r="D16" s="3" t="s">
        <v>61</v>
      </c>
      <c r="E16" s="3" t="s">
        <v>45</v>
      </c>
      <c r="F16" s="3" t="s">
        <v>62</v>
      </c>
      <c r="G16" s="3" t="s">
        <v>70</v>
      </c>
      <c r="H16" s="3" t="s">
        <v>65</v>
      </c>
    </row>
    <row r="17" customFormat="false" ht="15" hidden="false" customHeight="true" outlineLevel="0" collapsed="false">
      <c r="A17" s="3" t="s">
        <v>86</v>
      </c>
      <c r="B17" s="3" t="s">
        <v>56</v>
      </c>
      <c r="C17" s="3" t="s">
        <v>51</v>
      </c>
      <c r="D17" s="3" t="s">
        <v>44</v>
      </c>
      <c r="E17" s="3" t="s">
        <v>69</v>
      </c>
      <c r="F17" s="3" t="s">
        <v>46</v>
      </c>
      <c r="G17" s="3" t="s">
        <v>70</v>
      </c>
      <c r="H17" s="3" t="s">
        <v>82</v>
      </c>
    </row>
    <row r="18" customFormat="false" ht="15" hidden="false" customHeight="true" outlineLevel="0" collapsed="false">
      <c r="A18" s="3" t="s">
        <v>87</v>
      </c>
      <c r="B18" s="3" t="s">
        <v>56</v>
      </c>
      <c r="C18" s="3" t="s">
        <v>43</v>
      </c>
      <c r="D18" s="3" t="s">
        <v>44</v>
      </c>
      <c r="E18" s="3" t="s">
        <v>69</v>
      </c>
      <c r="F18" s="3" t="s">
        <v>46</v>
      </c>
      <c r="G18" s="3" t="s">
        <v>88</v>
      </c>
      <c r="H18" s="3" t="s">
        <v>89</v>
      </c>
    </row>
    <row r="19" customFormat="false" ht="15" hidden="false" customHeight="true" outlineLevel="0" collapsed="false">
      <c r="A19" s="3" t="s">
        <v>90</v>
      </c>
      <c r="B19" s="3" t="s">
        <v>42</v>
      </c>
      <c r="C19" s="3" t="s">
        <v>51</v>
      </c>
      <c r="D19" s="3" t="s">
        <v>44</v>
      </c>
      <c r="E19" s="3" t="s">
        <v>69</v>
      </c>
      <c r="F19" s="3" t="s">
        <v>46</v>
      </c>
      <c r="G19" s="3" t="s">
        <v>88</v>
      </c>
      <c r="H19" s="3" t="s">
        <v>91</v>
      </c>
    </row>
    <row r="20" customFormat="false" ht="23.25" hidden="false" customHeight="true" outlineLevel="0" collapsed="false">
      <c r="A20" s="3" t="s">
        <v>92</v>
      </c>
      <c r="B20" s="3" t="s">
        <v>50</v>
      </c>
      <c r="C20" s="3" t="s">
        <v>51</v>
      </c>
      <c r="D20" s="3" t="s">
        <v>52</v>
      </c>
      <c r="E20" s="3" t="s">
        <v>69</v>
      </c>
      <c r="F20" s="3" t="s">
        <v>53</v>
      </c>
      <c r="G20" s="3" t="s">
        <v>88</v>
      </c>
      <c r="H20" s="3" t="s">
        <v>93</v>
      </c>
    </row>
    <row r="21" customFormat="false" ht="15" hidden="false" customHeight="true" outlineLevel="0" collapsed="false">
      <c r="A21" s="3" t="s">
        <v>94</v>
      </c>
      <c r="B21" s="3" t="s">
        <v>42</v>
      </c>
      <c r="C21" s="3" t="s">
        <v>43</v>
      </c>
      <c r="D21" s="3" t="s">
        <v>44</v>
      </c>
      <c r="E21" s="3" t="s">
        <v>69</v>
      </c>
      <c r="F21" s="3" t="s">
        <v>46</v>
      </c>
      <c r="G21" s="3" t="s">
        <v>88</v>
      </c>
      <c r="H21" s="3" t="s">
        <v>65</v>
      </c>
    </row>
    <row r="22" customFormat="false" ht="23.25" hidden="false" customHeight="true" outlineLevel="0" collapsed="false">
      <c r="A22" s="3" t="s">
        <v>95</v>
      </c>
      <c r="B22" s="3" t="s">
        <v>42</v>
      </c>
      <c r="C22" s="3" t="s">
        <v>43</v>
      </c>
      <c r="D22" s="3" t="s">
        <v>44</v>
      </c>
      <c r="E22" s="3" t="s">
        <v>69</v>
      </c>
      <c r="F22" s="3" t="s">
        <v>46</v>
      </c>
      <c r="G22" s="3" t="s">
        <v>96</v>
      </c>
      <c r="H22" s="3" t="s">
        <v>97</v>
      </c>
    </row>
    <row r="23" customFormat="false" ht="15" hidden="false" customHeight="true" outlineLevel="0" collapsed="false">
      <c r="A23" s="3" t="s">
        <v>98</v>
      </c>
      <c r="B23" s="3" t="s">
        <v>56</v>
      </c>
      <c r="C23" s="3" t="s">
        <v>51</v>
      </c>
      <c r="D23" s="3" t="s">
        <v>44</v>
      </c>
      <c r="E23" s="3" t="s">
        <v>69</v>
      </c>
      <c r="F23" s="3" t="s">
        <v>46</v>
      </c>
      <c r="G23" s="3" t="s">
        <v>88</v>
      </c>
      <c r="H23" s="3" t="s">
        <v>82</v>
      </c>
    </row>
    <row r="24" customFormat="false" ht="15" hidden="false" customHeight="true" outlineLevel="0" collapsed="false">
      <c r="A24" s="3" t="s">
        <v>99</v>
      </c>
      <c r="B24" s="3" t="s">
        <v>50</v>
      </c>
      <c r="C24" s="3" t="s">
        <v>51</v>
      </c>
      <c r="D24" s="3" t="s">
        <v>52</v>
      </c>
      <c r="E24" s="3" t="s">
        <v>80</v>
      </c>
      <c r="F24" s="3" t="s">
        <v>53</v>
      </c>
      <c r="G24" s="3" t="s">
        <v>100</v>
      </c>
      <c r="H24" s="3" t="s">
        <v>101</v>
      </c>
    </row>
    <row r="25" customFormat="false" ht="15" hidden="false" customHeight="true" outlineLevel="0" collapsed="false">
      <c r="A25" s="3" t="s">
        <v>102</v>
      </c>
      <c r="B25" s="3" t="s">
        <v>50</v>
      </c>
      <c r="C25" s="3" t="s">
        <v>43</v>
      </c>
      <c r="D25" s="3" t="s">
        <v>52</v>
      </c>
      <c r="E25" s="3" t="s">
        <v>80</v>
      </c>
      <c r="F25" s="3" t="s">
        <v>53</v>
      </c>
      <c r="G25" s="3" t="s">
        <v>100</v>
      </c>
      <c r="H25" s="3" t="s">
        <v>89</v>
      </c>
    </row>
    <row r="26" customFormat="false" ht="15" hidden="false" customHeight="true" outlineLevel="0" collapsed="false">
      <c r="A26" s="3" t="s">
        <v>103</v>
      </c>
      <c r="B26" s="3" t="s">
        <v>50</v>
      </c>
      <c r="C26" s="3" t="s">
        <v>104</v>
      </c>
      <c r="D26" s="3" t="s">
        <v>52</v>
      </c>
      <c r="E26" s="3" t="s">
        <v>80</v>
      </c>
      <c r="F26" s="3" t="s">
        <v>53</v>
      </c>
      <c r="G26" s="3" t="s">
        <v>100</v>
      </c>
      <c r="H26" s="3" t="s">
        <v>105</v>
      </c>
    </row>
    <row r="27" customFormat="false" ht="15" hidden="false" customHeight="true" outlineLevel="0" collapsed="false">
      <c r="A27" s="3" t="s">
        <v>106</v>
      </c>
      <c r="B27" s="3" t="s">
        <v>50</v>
      </c>
      <c r="C27" s="3" t="s">
        <v>51</v>
      </c>
      <c r="D27" s="3" t="s">
        <v>52</v>
      </c>
      <c r="E27" s="3" t="s">
        <v>80</v>
      </c>
      <c r="F27" s="3" t="s">
        <v>53</v>
      </c>
      <c r="G27" s="3" t="s">
        <v>100</v>
      </c>
      <c r="H27" s="3" t="s">
        <v>65</v>
      </c>
    </row>
    <row r="28" customFormat="false" ht="15" hidden="false" customHeight="true" outlineLevel="0" collapsed="false">
      <c r="A28" s="3" t="s">
        <v>107</v>
      </c>
      <c r="B28" s="3" t="s">
        <v>50</v>
      </c>
      <c r="C28" s="3" t="s">
        <v>60</v>
      </c>
      <c r="D28" s="3" t="s">
        <v>67</v>
      </c>
      <c r="E28" s="3" t="s">
        <v>80</v>
      </c>
      <c r="F28" s="3" t="s">
        <v>62</v>
      </c>
      <c r="G28" s="3" t="s">
        <v>100</v>
      </c>
      <c r="H28" s="3" t="s">
        <v>65</v>
      </c>
    </row>
    <row r="29" customFormat="false" ht="23.25" hidden="false" customHeight="true" outlineLevel="0" collapsed="false">
      <c r="A29" s="3" t="s">
        <v>108</v>
      </c>
      <c r="B29" s="3" t="s">
        <v>109</v>
      </c>
      <c r="C29" s="3" t="s">
        <v>60</v>
      </c>
      <c r="D29" s="3" t="s">
        <v>67</v>
      </c>
      <c r="E29" s="3" t="s">
        <v>80</v>
      </c>
      <c r="F29" s="3" t="s">
        <v>110</v>
      </c>
      <c r="G29" s="3" t="s">
        <v>100</v>
      </c>
      <c r="H29" s="3" t="s">
        <v>111</v>
      </c>
    </row>
    <row r="30" customFormat="false" ht="15" hidden="false" customHeight="true" outlineLevel="0" collapsed="false">
      <c r="A30" s="3" t="s">
        <v>112</v>
      </c>
      <c r="B30" s="3" t="s">
        <v>50</v>
      </c>
      <c r="C30" s="3" t="s">
        <v>51</v>
      </c>
      <c r="D30" s="3" t="s">
        <v>52</v>
      </c>
      <c r="E30" s="3" t="s">
        <v>80</v>
      </c>
      <c r="F30" s="3" t="s">
        <v>53</v>
      </c>
      <c r="G30" s="3" t="s">
        <v>100</v>
      </c>
      <c r="H30" s="3" t="s">
        <v>65</v>
      </c>
    </row>
    <row r="31" customFormat="false" ht="23.25" hidden="false" customHeight="true" outlineLevel="0" collapsed="false">
      <c r="A31" s="3" t="s">
        <v>113</v>
      </c>
      <c r="B31" s="3" t="s">
        <v>42</v>
      </c>
      <c r="C31" s="3" t="s">
        <v>43</v>
      </c>
      <c r="D31" s="3" t="s">
        <v>44</v>
      </c>
      <c r="E31" s="3" t="s">
        <v>69</v>
      </c>
      <c r="F31" s="3" t="s">
        <v>46</v>
      </c>
      <c r="G31" s="3" t="s">
        <v>114</v>
      </c>
      <c r="H31" s="3" t="s">
        <v>115</v>
      </c>
    </row>
    <row r="33" customFormat="false" ht="15" hidden="false" customHeight="true" outlineLevel="0" collapsed="false">
      <c r="A33" s="4"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4"/>
    <col collapsed="false" customWidth="true" hidden="false" outlineLevel="0" max="5" min="2" style="1" width="16"/>
    <col collapsed="false" customWidth="true" hidden="false" outlineLevel="0" max="6" min="6" style="1" width="42"/>
  </cols>
  <sheetData>
    <row r="1" customFormat="false" ht="15.75" hidden="false" customHeight="true" outlineLevel="0" collapsed="false">
      <c r="A1" s="5" t="s">
        <v>117</v>
      </c>
    </row>
    <row r="3" customFormat="false" ht="15" hidden="false" customHeight="true" outlineLevel="0" collapsed="false">
      <c r="A3" s="6" t="s">
        <v>118</v>
      </c>
      <c r="B3" s="7"/>
      <c r="C3" s="7"/>
      <c r="D3" s="7"/>
      <c r="E3" s="7"/>
      <c r="F3" s="7"/>
    </row>
    <row r="4" customFormat="false" ht="23.25" hidden="false" customHeight="true" outlineLevel="0" collapsed="false">
      <c r="A4" s="3" t="s">
        <v>119</v>
      </c>
      <c r="B4" s="8" t="n">
        <v>105</v>
      </c>
      <c r="C4" s="3"/>
      <c r="D4" s="3"/>
      <c r="E4" s="3"/>
      <c r="F4" s="3" t="s">
        <v>120</v>
      </c>
    </row>
    <row r="5" customFormat="false" ht="23.25" hidden="false" customHeight="true" outlineLevel="0" collapsed="false">
      <c r="A5" s="3" t="s">
        <v>121</v>
      </c>
      <c r="B5" s="8" t="n">
        <v>55</v>
      </c>
      <c r="C5" s="3"/>
      <c r="D5" s="3"/>
      <c r="E5" s="3"/>
      <c r="F5" s="3" t="s">
        <v>122</v>
      </c>
    </row>
    <row r="6" customFormat="false" ht="23.25" hidden="false" customHeight="true" outlineLevel="0" collapsed="false">
      <c r="A6" s="3" t="s">
        <v>123</v>
      </c>
      <c r="B6" s="8" t="n">
        <v>0.5</v>
      </c>
      <c r="C6" s="3"/>
      <c r="D6" s="3"/>
      <c r="E6" s="3"/>
      <c r="F6" s="3" t="s">
        <v>124</v>
      </c>
    </row>
    <row r="7" customFormat="false" ht="15" hidden="false" customHeight="true" outlineLevel="0" collapsed="false">
      <c r="A7" s="3" t="s">
        <v>125</v>
      </c>
      <c r="B7" s="9" t="n">
        <f aca="false">B4*(1-B6)+B5*B6</f>
        <v>80</v>
      </c>
      <c r="C7" s="3"/>
      <c r="D7" s="3"/>
      <c r="E7" s="3"/>
      <c r="F7" s="3" t="s">
        <v>126</v>
      </c>
    </row>
    <row r="8" customFormat="false" ht="23.25" hidden="false" customHeight="true" outlineLevel="0" collapsed="false">
      <c r="A8" s="3" t="s">
        <v>127</v>
      </c>
      <c r="B8" s="8" t="n">
        <v>200</v>
      </c>
      <c r="C8" s="3"/>
      <c r="D8" s="3"/>
      <c r="E8" s="3"/>
      <c r="F8" s="3" t="s">
        <v>128</v>
      </c>
    </row>
    <row r="9" customFormat="false" ht="15" hidden="false" customHeight="true" outlineLevel="0" collapsed="false">
      <c r="A9" s="3" t="s">
        <v>129</v>
      </c>
      <c r="B9" s="8" t="n">
        <v>400</v>
      </c>
      <c r="C9" s="3"/>
      <c r="D9" s="3"/>
      <c r="E9" s="3"/>
      <c r="F9" s="3" t="s">
        <v>130</v>
      </c>
    </row>
    <row r="10" customFormat="false" ht="15" hidden="false" customHeight="true" outlineLevel="0" collapsed="false">
      <c r="A10" s="3" t="s">
        <v>131</v>
      </c>
      <c r="B10" s="8" t="n">
        <v>45</v>
      </c>
      <c r="C10" s="3"/>
      <c r="D10" s="3"/>
      <c r="E10" s="3"/>
      <c r="F10" s="3" t="s">
        <v>132</v>
      </c>
    </row>
    <row r="11" customFormat="false" ht="15" hidden="false" customHeight="true" outlineLevel="0" collapsed="false">
      <c r="A11" s="3" t="s">
        <v>133</v>
      </c>
      <c r="B11" s="8" t="n">
        <v>120</v>
      </c>
      <c r="C11" s="3"/>
      <c r="D11" s="3"/>
      <c r="E11" s="3"/>
      <c r="F11" s="3" t="s">
        <v>134</v>
      </c>
    </row>
    <row r="12" customFormat="false" ht="15" hidden="false" customHeight="true" outlineLevel="0" collapsed="false">
      <c r="A12" s="3" t="s">
        <v>135</v>
      </c>
      <c r="B12" s="8" t="n">
        <v>25</v>
      </c>
      <c r="C12" s="3"/>
      <c r="D12" s="3"/>
      <c r="E12" s="3"/>
      <c r="F12" s="3" t="s">
        <v>136</v>
      </c>
    </row>
    <row r="13" customFormat="false" ht="23.25" hidden="false" customHeight="true" outlineLevel="0" collapsed="false">
      <c r="A13" s="3" t="s">
        <v>137</v>
      </c>
      <c r="B13" s="8" t="n">
        <v>150</v>
      </c>
      <c r="C13" s="3"/>
      <c r="D13" s="3"/>
      <c r="E13" s="3"/>
      <c r="F13" s="3" t="s">
        <v>138</v>
      </c>
    </row>
    <row r="15" customFormat="false" ht="15" hidden="false" customHeight="true" outlineLevel="0" collapsed="false">
      <c r="A15" s="6" t="s">
        <v>139</v>
      </c>
      <c r="B15" s="7"/>
      <c r="C15" s="7"/>
      <c r="D15" s="7"/>
      <c r="E15" s="7"/>
      <c r="F15" s="7"/>
    </row>
    <row r="16" customFormat="false" ht="23.25" hidden="false" customHeight="true" outlineLevel="0" collapsed="false">
      <c r="A16" s="3" t="s">
        <v>140</v>
      </c>
      <c r="B16" s="8" t="n">
        <v>70</v>
      </c>
      <c r="C16" s="3"/>
      <c r="D16" s="3"/>
      <c r="E16" s="3"/>
      <c r="F16" s="3" t="s">
        <v>141</v>
      </c>
    </row>
    <row r="17" customFormat="false" ht="15" hidden="false" customHeight="true" outlineLevel="0" collapsed="false">
      <c r="A17" s="3" t="s">
        <v>142</v>
      </c>
      <c r="B17" s="8" t="n">
        <v>395</v>
      </c>
      <c r="C17" s="3"/>
      <c r="D17" s="3"/>
      <c r="E17" s="3"/>
      <c r="F17" s="3"/>
    </row>
    <row r="18" customFormat="false" ht="15" hidden="false" customHeight="true" outlineLevel="0" collapsed="false">
      <c r="A18" s="3" t="s">
        <v>143</v>
      </c>
      <c r="B18" s="8" t="n">
        <v>2500</v>
      </c>
      <c r="C18" s="3"/>
      <c r="D18" s="3"/>
      <c r="E18" s="3"/>
      <c r="F18" s="3"/>
    </row>
    <row r="20" customFormat="false" ht="15" hidden="false" customHeight="true" outlineLevel="0" collapsed="false">
      <c r="A20" s="6" t="s">
        <v>144</v>
      </c>
      <c r="B20" s="7"/>
      <c r="C20" s="7"/>
      <c r="D20" s="7"/>
      <c r="E20" s="7"/>
      <c r="F20" s="7"/>
    </row>
    <row r="21" customFormat="false" ht="23.25" hidden="false" customHeight="true" outlineLevel="0" collapsed="false">
      <c r="A21" s="3" t="s">
        <v>145</v>
      </c>
      <c r="B21" s="8" t="n">
        <v>0.6</v>
      </c>
      <c r="C21" s="3"/>
      <c r="D21" s="3"/>
      <c r="E21" s="3"/>
      <c r="F21" s="3" t="s">
        <v>146</v>
      </c>
    </row>
    <row r="22" customFormat="false" ht="23.25" hidden="false" customHeight="true" outlineLevel="0" collapsed="false">
      <c r="A22" s="3" t="s">
        <v>147</v>
      </c>
      <c r="B22" s="3" t="n">
        <f aca="false">B7*2.3+B7*0.6+B8*0.7+B10+B12</f>
        <v>442</v>
      </c>
      <c r="C22" s="3"/>
      <c r="D22" s="3"/>
      <c r="E22" s="3"/>
      <c r="F22" s="3" t="s">
        <v>148</v>
      </c>
    </row>
    <row r="23" customFormat="false" ht="23.25" hidden="false" customHeight="true" outlineLevel="0" collapsed="false">
      <c r="A23" s="3" t="s">
        <v>149</v>
      </c>
      <c r="B23" s="3" t="n">
        <f aca="false">B22/(1-B21)</f>
        <v>1105</v>
      </c>
      <c r="C23" s="3"/>
      <c r="D23" s="3"/>
      <c r="E23" s="3"/>
      <c r="F23" s="3" t="s">
        <v>150</v>
      </c>
    </row>
    <row r="24" customFormat="false" ht="23.25" hidden="false" customHeight="true" outlineLevel="0" collapsed="false">
      <c r="A24" s="3" t="s">
        <v>151</v>
      </c>
      <c r="B24" s="3" t="n">
        <f aca="false">B8*0.7+B10+B12</f>
        <v>210</v>
      </c>
      <c r="C24" s="3"/>
      <c r="D24" s="3"/>
      <c r="E24" s="3"/>
      <c r="F24" s="3" t="s">
        <v>152</v>
      </c>
    </row>
    <row r="25" customFormat="false" ht="15" hidden="false" customHeight="true" outlineLevel="0" collapsed="false">
      <c r="A25" s="3" t="s">
        <v>153</v>
      </c>
      <c r="B25" s="3" t="n">
        <f aca="false">B24/(1-B21)</f>
        <v>525</v>
      </c>
      <c r="C25" s="3"/>
      <c r="D25" s="3"/>
      <c r="E25" s="3"/>
      <c r="F25" s="3" t="s">
        <v>154</v>
      </c>
    </row>
    <row r="27" customFormat="false" ht="15" hidden="false" customHeight="true" outlineLevel="0" collapsed="false">
      <c r="A27" s="6" t="s">
        <v>155</v>
      </c>
      <c r="B27" s="7"/>
      <c r="C27" s="7"/>
      <c r="D27" s="7"/>
      <c r="E27" s="7"/>
      <c r="F27" s="7"/>
    </row>
    <row r="28" customFormat="false" ht="15" hidden="false" customHeight="true" outlineLevel="0" collapsed="false">
      <c r="A28" s="3" t="s">
        <v>156</v>
      </c>
      <c r="B28" s="8" t="n">
        <v>400</v>
      </c>
      <c r="C28" s="3"/>
      <c r="D28" s="3"/>
      <c r="E28" s="3"/>
      <c r="F28" s="3" t="s">
        <v>157</v>
      </c>
    </row>
    <row r="29" customFormat="false" ht="23.25" hidden="false" customHeight="true" outlineLevel="0" collapsed="false">
      <c r="A29" s="3" t="s">
        <v>158</v>
      </c>
      <c r="B29" s="8" t="n">
        <v>950</v>
      </c>
      <c r="C29" s="3"/>
      <c r="D29" s="3"/>
      <c r="E29" s="3"/>
      <c r="F29" s="3" t="s">
        <v>159</v>
      </c>
    </row>
    <row r="30" customFormat="false" ht="15" hidden="false" customHeight="true" outlineLevel="0" collapsed="false">
      <c r="A30" s="3" t="s">
        <v>160</v>
      </c>
      <c r="B30" s="8" t="n">
        <v>3500</v>
      </c>
      <c r="C30" s="3"/>
      <c r="D30" s="3"/>
      <c r="E30" s="3"/>
      <c r="F30" s="3" t="s">
        <v>157</v>
      </c>
    </row>
    <row r="31" customFormat="false" ht="15" hidden="false" customHeight="true" outlineLevel="0" collapsed="false">
      <c r="A31" s="3" t="s">
        <v>161</v>
      </c>
      <c r="B31" s="8" t="n">
        <v>395</v>
      </c>
      <c r="C31" s="3"/>
      <c r="D31" s="3"/>
      <c r="E31" s="3"/>
      <c r="F31" s="3" t="s">
        <v>162</v>
      </c>
    </row>
    <row r="33" customFormat="false" ht="15" hidden="false" customHeight="true" outlineLevel="0" collapsed="false">
      <c r="A33" s="6" t="s">
        <v>163</v>
      </c>
      <c r="B33" s="7"/>
      <c r="C33" s="7"/>
      <c r="D33" s="7"/>
      <c r="E33" s="7"/>
      <c r="F33" s="7"/>
    </row>
    <row r="34" customFormat="false" ht="15" hidden="false" customHeight="true" outlineLevel="0" collapsed="false">
      <c r="A34" s="3" t="s">
        <v>164</v>
      </c>
      <c r="B34" s="3" t="n">
        <f aca="false">B16*4</f>
        <v>280</v>
      </c>
      <c r="C34" s="3"/>
      <c r="D34" s="3"/>
      <c r="E34" s="3"/>
      <c r="F34" s="3"/>
    </row>
    <row r="35" customFormat="false" ht="15" hidden="false" customHeight="true" outlineLevel="0" collapsed="false">
      <c r="A35" s="3" t="s">
        <v>165</v>
      </c>
      <c r="B35" s="3" t="n">
        <f aca="false">B16*2</f>
        <v>140</v>
      </c>
      <c r="C35" s="3"/>
      <c r="D35" s="3"/>
      <c r="E35" s="3"/>
      <c r="F35" s="3"/>
    </row>
    <row r="36" customFormat="false" ht="15" hidden="false" customHeight="true" outlineLevel="0" collapsed="false">
      <c r="A36" s="3" t="s">
        <v>166</v>
      </c>
      <c r="B36" s="3" t="n">
        <f aca="false">B17</f>
        <v>395</v>
      </c>
      <c r="C36" s="3"/>
      <c r="D36" s="3"/>
      <c r="E36" s="3"/>
      <c r="F36" s="3"/>
    </row>
    <row r="37" customFormat="false" ht="15" hidden="false" customHeight="true" outlineLevel="0" collapsed="false">
      <c r="A37" s="3" t="s">
        <v>167</v>
      </c>
      <c r="B37" s="3" t="n">
        <f aca="false">B18-1450</f>
        <v>1050</v>
      </c>
      <c r="C37" s="3"/>
      <c r="D37" s="3"/>
      <c r="E37" s="3"/>
      <c r="F37" s="3"/>
    </row>
    <row r="38" customFormat="false" ht="15" hidden="false" customHeight="true" outlineLevel="0" collapsed="false">
      <c r="A38" s="3" t="s">
        <v>168</v>
      </c>
      <c r="B38" s="8" t="n">
        <v>200</v>
      </c>
      <c r="C38" s="3"/>
      <c r="D38" s="3"/>
      <c r="E38" s="3"/>
      <c r="F38" s="3" t="s">
        <v>169</v>
      </c>
    </row>
    <row r="39" customFormat="false" ht="23.25" hidden="false" customHeight="true" outlineLevel="0" collapsed="false">
      <c r="A39" s="3" t="s">
        <v>83</v>
      </c>
      <c r="B39" s="8" t="n">
        <v>2000</v>
      </c>
      <c r="C39" s="3"/>
      <c r="D39" s="3"/>
      <c r="E39" s="3"/>
      <c r="F39" s="3" t="s">
        <v>170</v>
      </c>
    </row>
    <row r="40" customFormat="false" ht="15" hidden="false" customHeight="true" outlineLevel="0" collapsed="false">
      <c r="A40" s="3" t="s">
        <v>171</v>
      </c>
      <c r="B40" s="3" t="n">
        <f aca="false">SUM(B34:B39)</f>
        <v>4065</v>
      </c>
      <c r="C40" s="3"/>
      <c r="D40" s="3"/>
      <c r="E40" s="3"/>
      <c r="F40" s="3" t="s">
        <v>172</v>
      </c>
    </row>
    <row r="41" customFormat="false" ht="15" hidden="false" customHeight="true" outlineLevel="0" collapsed="false">
      <c r="A41" s="3" t="s">
        <v>173</v>
      </c>
      <c r="B41" s="3" t="n">
        <f aca="false">B49/B40</f>
        <v>0.194341943419434</v>
      </c>
      <c r="C41" s="3"/>
      <c r="D41" s="3"/>
      <c r="E41" s="3"/>
      <c r="F41" s="3" t="s">
        <v>174</v>
      </c>
    </row>
    <row r="43" customFormat="false" ht="15" hidden="false" customHeight="true" outlineLevel="0" collapsed="false">
      <c r="A43" s="6" t="s">
        <v>175</v>
      </c>
      <c r="B43" s="7"/>
      <c r="C43" s="7"/>
      <c r="D43" s="7"/>
      <c r="E43" s="7"/>
      <c r="F43" s="7"/>
    </row>
    <row r="44" customFormat="false" ht="15" hidden="false" customHeight="true" outlineLevel="0" collapsed="false">
      <c r="A44" s="2" t="s">
        <v>176</v>
      </c>
      <c r="B44" s="2" t="s">
        <v>177</v>
      </c>
      <c r="C44" s="2" t="s">
        <v>178</v>
      </c>
      <c r="D44" s="2" t="s">
        <v>179</v>
      </c>
      <c r="E44" s="2" t="s">
        <v>180</v>
      </c>
      <c r="F44" s="2" t="s">
        <v>181</v>
      </c>
    </row>
    <row r="45" customFormat="false" ht="23.25" hidden="false" customHeight="true" outlineLevel="0" collapsed="false">
      <c r="A45" s="3" t="s">
        <v>57</v>
      </c>
      <c r="B45" s="8" t="n">
        <v>0</v>
      </c>
      <c r="C45" s="8"/>
      <c r="D45" s="3" t="n">
        <f aca="false">B45/$B$47</f>
        <v>0</v>
      </c>
      <c r="E45" s="3" t="s">
        <v>182</v>
      </c>
      <c r="F45" s="3" t="s">
        <v>183</v>
      </c>
    </row>
    <row r="46" customFormat="false" ht="23.25" hidden="false" customHeight="true" outlineLevel="0" collapsed="false">
      <c r="A46" s="3" t="s">
        <v>184</v>
      </c>
      <c r="B46" s="8" t="n">
        <v>290</v>
      </c>
      <c r="C46" s="8" t="n">
        <v>29</v>
      </c>
      <c r="D46" s="3" t="n">
        <f aca="false">B46/$B$47</f>
        <v>0.367088607594937</v>
      </c>
      <c r="E46" s="3" t="s">
        <v>185</v>
      </c>
      <c r="F46" s="3" t="s">
        <v>186</v>
      </c>
    </row>
    <row r="47" customFormat="false" ht="23.25" hidden="false" customHeight="true" outlineLevel="0" collapsed="false">
      <c r="A47" s="9" t="s">
        <v>187</v>
      </c>
      <c r="B47" s="10" t="n">
        <v>790</v>
      </c>
      <c r="C47" s="10" t="n">
        <v>79</v>
      </c>
      <c r="D47" s="9" t="n">
        <f aca="false">B47/$B$47</f>
        <v>1</v>
      </c>
      <c r="E47" s="9" t="s">
        <v>188</v>
      </c>
      <c r="F47" s="9" t="s">
        <v>189</v>
      </c>
    </row>
    <row r="48" customFormat="false" ht="15" hidden="false" customHeight="true" outlineLevel="0" collapsed="false">
      <c r="A48" s="3" t="s">
        <v>100</v>
      </c>
      <c r="B48" s="8" t="n">
        <v>2950</v>
      </c>
      <c r="C48" s="8"/>
      <c r="D48" s="3" t="n">
        <f aca="false">B48/$B$47</f>
        <v>3.73417721518987</v>
      </c>
      <c r="E48" s="3" t="s">
        <v>190</v>
      </c>
      <c r="F48" s="3" t="s">
        <v>191</v>
      </c>
    </row>
    <row r="49" customFormat="false" ht="15" hidden="false" customHeight="true" outlineLevel="0" collapsed="false">
      <c r="A49" s="3" t="s">
        <v>192</v>
      </c>
      <c r="B49" s="3" t="n">
        <f aca="false">B47</f>
        <v>790</v>
      </c>
      <c r="C49" s="3"/>
      <c r="D49" s="3"/>
      <c r="E49" s="3"/>
      <c r="F49" s="3"/>
    </row>
    <row r="50" customFormat="false" ht="15" hidden="false" customHeight="true" outlineLevel="0" collapsed="false">
      <c r="A50" s="3" t="s">
        <v>193</v>
      </c>
      <c r="B50" s="3" t="n">
        <f aca="false">(B47-B24)/B47</f>
        <v>0.734177215189873</v>
      </c>
      <c r="C50" s="3"/>
      <c r="D50" s="3"/>
      <c r="E50" s="3"/>
      <c r="F50" s="3" t="s">
        <v>172</v>
      </c>
    </row>
    <row r="51" customFormat="false" ht="15" hidden="false" customHeight="true" outlineLevel="0" collapsed="false">
      <c r="A51" s="3" t="s">
        <v>194</v>
      </c>
      <c r="B51" s="3" t="n">
        <f aca="false">(B47-B22)/B47</f>
        <v>0.440506329113924</v>
      </c>
      <c r="C51" s="3"/>
      <c r="D51" s="3"/>
      <c r="E51" s="3"/>
      <c r="F51" s="3" t="s">
        <v>172</v>
      </c>
    </row>
    <row r="52" customFormat="false" ht="15" hidden="false" customHeight="true" outlineLevel="0" collapsed="false">
      <c r="A52" s="3" t="s">
        <v>195</v>
      </c>
      <c r="B52" s="3" t="n">
        <f aca="false">1-B46/(C46*12)</f>
        <v>0.166666666666667</v>
      </c>
      <c r="C52" s="3"/>
      <c r="D52" s="3"/>
      <c r="E52" s="3"/>
      <c r="F52" s="3" t="s">
        <v>172</v>
      </c>
    </row>
    <row r="53" customFormat="false" ht="15" hidden="false" customHeight="true" outlineLevel="0" collapsed="false">
      <c r="A53" s="3" t="s">
        <v>196</v>
      </c>
      <c r="B53" s="3" t="n">
        <f aca="false">1-B47/(C47*12)</f>
        <v>0.166666666666667</v>
      </c>
      <c r="C53" s="3"/>
      <c r="D53" s="3"/>
      <c r="E53" s="3"/>
      <c r="F53" s="3" t="s">
        <v>172</v>
      </c>
    </row>
    <row r="55" customFormat="false" ht="15" hidden="false" customHeight="true" outlineLevel="0" collapsed="false">
      <c r="A55" s="6" t="s">
        <v>197</v>
      </c>
      <c r="B55" s="7"/>
      <c r="C55" s="7"/>
      <c r="D55" s="7"/>
      <c r="E55" s="7"/>
      <c r="F55" s="7"/>
    </row>
    <row r="56" customFormat="false" ht="69.75" hidden="false" customHeight="true" outlineLevel="0" collapsed="false">
      <c r="A56" s="11" t="s">
        <v>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5" min="2" style="1" width="26"/>
  </cols>
  <sheetData>
    <row r="1" customFormat="false" ht="15" hidden="false" customHeight="true" outlineLevel="0" collapsed="false">
      <c r="A1" s="2"/>
      <c r="B1" s="2" t="s">
        <v>57</v>
      </c>
      <c r="C1" s="2" t="s">
        <v>184</v>
      </c>
      <c r="D1" s="2" t="s">
        <v>187</v>
      </c>
      <c r="E1" s="2" t="s">
        <v>100</v>
      </c>
    </row>
    <row r="2" customFormat="false" ht="15" hidden="false" customHeight="true" outlineLevel="0" collapsed="false">
      <c r="A2" s="9" t="s">
        <v>199</v>
      </c>
      <c r="B2" s="9" t="s">
        <v>57</v>
      </c>
      <c r="C2" s="9" t="s">
        <v>184</v>
      </c>
      <c r="D2" s="9" t="s">
        <v>187</v>
      </c>
      <c r="E2" s="9" t="s">
        <v>100</v>
      </c>
    </row>
    <row r="3" customFormat="false" ht="15" hidden="false" customHeight="true" outlineLevel="0" collapsed="false">
      <c r="A3" s="9" t="s">
        <v>180</v>
      </c>
      <c r="B3" s="9" t="s">
        <v>182</v>
      </c>
      <c r="C3" s="9" t="s">
        <v>185</v>
      </c>
      <c r="D3" s="9" t="s">
        <v>188</v>
      </c>
      <c r="E3" s="9" t="s">
        <v>190</v>
      </c>
    </row>
    <row r="4" customFormat="false" ht="15" hidden="false" customHeight="true" outlineLevel="0" collapsed="false">
      <c r="A4" s="9" t="s">
        <v>200</v>
      </c>
      <c r="B4" s="9"/>
      <c r="C4" s="9"/>
      <c r="D4" s="9" t="s">
        <v>201</v>
      </c>
      <c r="E4" s="9"/>
    </row>
    <row r="5" customFormat="false" ht="57" hidden="false" customHeight="true" outlineLevel="0" collapsed="false">
      <c r="A5" s="3" t="s">
        <v>202</v>
      </c>
      <c r="B5" s="3" t="s">
        <v>203</v>
      </c>
      <c r="C5" s="3" t="s">
        <v>204</v>
      </c>
      <c r="D5" s="3" t="s">
        <v>205</v>
      </c>
      <c r="E5" s="3" t="s">
        <v>206</v>
      </c>
    </row>
    <row r="6" customFormat="false" ht="15" hidden="false" customHeight="true" outlineLevel="0" collapsed="false">
      <c r="A6" s="3" t="s">
        <v>18</v>
      </c>
      <c r="B6" s="3" t="s">
        <v>19</v>
      </c>
      <c r="C6" s="3" t="s">
        <v>19</v>
      </c>
      <c r="D6" s="3" t="s">
        <v>19</v>
      </c>
      <c r="E6" s="3" t="s">
        <v>19</v>
      </c>
    </row>
    <row r="7" customFormat="false" ht="15" hidden="false" customHeight="true" outlineLevel="0" collapsed="false">
      <c r="A7" s="3" t="s">
        <v>207</v>
      </c>
      <c r="B7" s="3" t="s">
        <v>208</v>
      </c>
      <c r="C7" s="3" t="s">
        <v>209</v>
      </c>
      <c r="D7" s="3" t="s">
        <v>210</v>
      </c>
      <c r="E7" s="3" t="s">
        <v>211</v>
      </c>
    </row>
    <row r="8" customFormat="false" ht="15" hidden="false" customHeight="true" outlineLevel="0" collapsed="false">
      <c r="A8" s="3" t="s">
        <v>212</v>
      </c>
      <c r="B8" s="3" t="s">
        <v>213</v>
      </c>
      <c r="C8" s="3" t="s">
        <v>214</v>
      </c>
      <c r="D8" s="3" t="s">
        <v>215</v>
      </c>
      <c r="E8" s="3" t="s">
        <v>216</v>
      </c>
    </row>
    <row r="9" customFormat="false" ht="15" hidden="false" customHeight="true" outlineLevel="0" collapsed="false">
      <c r="A9" s="3" t="s">
        <v>217</v>
      </c>
      <c r="B9" s="3" t="s">
        <v>213</v>
      </c>
      <c r="C9" s="3" t="s">
        <v>218</v>
      </c>
      <c r="D9" s="3" t="s">
        <v>219</v>
      </c>
      <c r="E9" s="3" t="s">
        <v>220</v>
      </c>
    </row>
    <row r="10" customFormat="false" ht="15" hidden="false" customHeight="true" outlineLevel="0" collapsed="false">
      <c r="A10" s="3" t="s">
        <v>221</v>
      </c>
      <c r="B10" s="3" t="s">
        <v>222</v>
      </c>
      <c r="C10" s="3" t="s">
        <v>223</v>
      </c>
      <c r="D10" s="3" t="s">
        <v>224</v>
      </c>
      <c r="E10" s="3" t="s">
        <v>225</v>
      </c>
    </row>
    <row r="11" customFormat="false" ht="15" hidden="false" customHeight="true" outlineLevel="0" collapsed="false">
      <c r="A11" s="3"/>
      <c r="B11" s="3"/>
      <c r="C11" s="3"/>
      <c r="D11" s="3"/>
      <c r="E11" s="3"/>
    </row>
    <row r="12" customFormat="false" ht="15" hidden="false" customHeight="true" outlineLevel="0" collapsed="false">
      <c r="A12" s="12" t="s">
        <v>226</v>
      </c>
      <c r="B12" s="12"/>
      <c r="C12" s="12"/>
      <c r="D12" s="12"/>
      <c r="E12" s="12"/>
    </row>
    <row r="13" customFormat="false" ht="23.25" hidden="false" customHeight="true" outlineLevel="0" collapsed="false">
      <c r="A13" s="3" t="s">
        <v>227</v>
      </c>
      <c r="B13" s="3" t="s">
        <v>228</v>
      </c>
      <c r="C13" s="3" t="s">
        <v>229</v>
      </c>
      <c r="D13" s="3" t="s">
        <v>229</v>
      </c>
      <c r="E13" s="3" t="s">
        <v>229</v>
      </c>
    </row>
    <row r="14" customFormat="false" ht="15" hidden="false" customHeight="true" outlineLevel="0" collapsed="false">
      <c r="A14" s="3" t="s">
        <v>230</v>
      </c>
      <c r="B14" s="3" t="s">
        <v>231</v>
      </c>
      <c r="C14" s="3" t="s">
        <v>232</v>
      </c>
      <c r="D14" s="3" t="s">
        <v>233</v>
      </c>
      <c r="E14" s="3" t="s">
        <v>234</v>
      </c>
    </row>
    <row r="15" customFormat="false" ht="15" hidden="false" customHeight="true" outlineLevel="0" collapsed="false">
      <c r="A15" s="3" t="s">
        <v>235</v>
      </c>
      <c r="B15" s="3" t="s">
        <v>236</v>
      </c>
      <c r="C15" s="3" t="s">
        <v>237</v>
      </c>
      <c r="D15" s="3" t="s">
        <v>238</v>
      </c>
      <c r="E15" s="3" t="s">
        <v>239</v>
      </c>
    </row>
    <row r="16" customFormat="false" ht="15" hidden="false" customHeight="true" outlineLevel="0" collapsed="false">
      <c r="A16" s="3" t="s">
        <v>240</v>
      </c>
      <c r="B16" s="3" t="s">
        <v>213</v>
      </c>
      <c r="C16" s="3" t="s">
        <v>241</v>
      </c>
      <c r="D16" s="3" t="s">
        <v>242</v>
      </c>
      <c r="E16" s="3" t="s">
        <v>243</v>
      </c>
    </row>
    <row r="17" customFormat="false" ht="15" hidden="false" customHeight="true" outlineLevel="0" collapsed="false">
      <c r="A17" s="3" t="s">
        <v>244</v>
      </c>
      <c r="B17" s="3" t="s">
        <v>213</v>
      </c>
      <c r="C17" s="3" t="s">
        <v>245</v>
      </c>
      <c r="D17" s="3" t="s">
        <v>246</v>
      </c>
      <c r="E17" s="3" t="s">
        <v>247</v>
      </c>
    </row>
    <row r="18" customFormat="false" ht="15" hidden="false" customHeight="true" outlineLevel="0" collapsed="false">
      <c r="A18" s="3"/>
      <c r="B18" s="3"/>
      <c r="C18" s="3"/>
      <c r="D18" s="3"/>
      <c r="E18" s="3"/>
    </row>
    <row r="19" customFormat="false" ht="15" hidden="false" customHeight="true" outlineLevel="0" collapsed="false">
      <c r="A19" s="12" t="s">
        <v>248</v>
      </c>
      <c r="B19" s="12"/>
      <c r="C19" s="12"/>
      <c r="D19" s="12"/>
      <c r="E19" s="12"/>
    </row>
    <row r="20" customFormat="false" ht="15" hidden="false" customHeight="true" outlineLevel="0" collapsed="false">
      <c r="A20" s="3" t="s">
        <v>249</v>
      </c>
      <c r="B20" s="3" t="s">
        <v>250</v>
      </c>
      <c r="C20" s="3" t="s">
        <v>250</v>
      </c>
      <c r="D20" s="3" t="s">
        <v>250</v>
      </c>
      <c r="E20" s="3" t="s">
        <v>250</v>
      </c>
    </row>
    <row r="21" customFormat="false" ht="15" hidden="false" customHeight="true" outlineLevel="0" collapsed="false">
      <c r="A21" s="3" t="s">
        <v>72</v>
      </c>
      <c r="B21" s="3" t="s">
        <v>251</v>
      </c>
      <c r="C21" s="3" t="s">
        <v>250</v>
      </c>
      <c r="D21" s="3" t="s">
        <v>250</v>
      </c>
      <c r="E21" s="3" t="s">
        <v>250</v>
      </c>
    </row>
    <row r="22" customFormat="false" ht="15" hidden="false" customHeight="true" outlineLevel="0" collapsed="false">
      <c r="A22" s="3" t="s">
        <v>252</v>
      </c>
      <c r="B22" s="3" t="s">
        <v>251</v>
      </c>
      <c r="C22" s="3" t="s">
        <v>251</v>
      </c>
      <c r="D22" s="3" t="s">
        <v>250</v>
      </c>
      <c r="E22" s="3" t="s">
        <v>250</v>
      </c>
    </row>
    <row r="23" customFormat="false" ht="15" hidden="false" customHeight="true" outlineLevel="0" collapsed="false">
      <c r="A23" s="3" t="s">
        <v>253</v>
      </c>
      <c r="B23" s="3" t="s">
        <v>251</v>
      </c>
      <c r="C23" s="3" t="s">
        <v>250</v>
      </c>
      <c r="D23" s="3" t="s">
        <v>250</v>
      </c>
      <c r="E23" s="3" t="s">
        <v>250</v>
      </c>
    </row>
    <row r="24" customFormat="false" ht="15" hidden="false" customHeight="true" outlineLevel="0" collapsed="false">
      <c r="A24" s="3"/>
      <c r="B24" s="3"/>
      <c r="C24" s="3"/>
      <c r="D24" s="3"/>
      <c r="E24" s="3"/>
    </row>
    <row r="25" customFormat="false" ht="15" hidden="false" customHeight="true" outlineLevel="0" collapsed="false">
      <c r="A25" s="12" t="s">
        <v>254</v>
      </c>
      <c r="B25" s="12"/>
      <c r="C25" s="12"/>
      <c r="D25" s="12"/>
      <c r="E25" s="12"/>
    </row>
    <row r="26" customFormat="false" ht="15" hidden="false" customHeight="true" outlineLevel="0" collapsed="false">
      <c r="A26" s="3" t="s">
        <v>255</v>
      </c>
      <c r="B26" s="3" t="s">
        <v>250</v>
      </c>
      <c r="C26" s="3" t="s">
        <v>250</v>
      </c>
      <c r="D26" s="3" t="s">
        <v>250</v>
      </c>
      <c r="E26" s="3" t="s">
        <v>250</v>
      </c>
    </row>
    <row r="27" customFormat="false" ht="15" hidden="false" customHeight="true" outlineLevel="0" collapsed="false">
      <c r="A27" s="3" t="s">
        <v>256</v>
      </c>
      <c r="B27" s="3" t="s">
        <v>250</v>
      </c>
      <c r="C27" s="3" t="s">
        <v>250</v>
      </c>
      <c r="D27" s="3" t="s">
        <v>250</v>
      </c>
      <c r="E27" s="3" t="s">
        <v>250</v>
      </c>
    </row>
    <row r="28" customFormat="false" ht="15" hidden="false" customHeight="true" outlineLevel="0" collapsed="false">
      <c r="A28" s="3" t="s">
        <v>257</v>
      </c>
      <c r="B28" s="3" t="s">
        <v>258</v>
      </c>
      <c r="C28" s="3" t="s">
        <v>259</v>
      </c>
      <c r="D28" s="3" t="s">
        <v>260</v>
      </c>
      <c r="E28" s="3" t="s">
        <v>260</v>
      </c>
    </row>
    <row r="29" customFormat="false" ht="15" hidden="false" customHeight="true" outlineLevel="0" collapsed="false">
      <c r="A29" s="3" t="s">
        <v>261</v>
      </c>
      <c r="B29" s="3" t="s">
        <v>251</v>
      </c>
      <c r="C29" s="3" t="s">
        <v>250</v>
      </c>
      <c r="D29" s="3" t="s">
        <v>250</v>
      </c>
      <c r="E29" s="3" t="s">
        <v>250</v>
      </c>
    </row>
    <row r="30" customFormat="false" ht="15" hidden="false" customHeight="true" outlineLevel="0" collapsed="false">
      <c r="A30" s="3" t="s">
        <v>262</v>
      </c>
      <c r="B30" s="3" t="s">
        <v>251</v>
      </c>
      <c r="C30" s="3" t="s">
        <v>250</v>
      </c>
      <c r="D30" s="3" t="s">
        <v>250</v>
      </c>
      <c r="E30" s="3" t="s">
        <v>250</v>
      </c>
    </row>
    <row r="31" customFormat="false" ht="15" hidden="false" customHeight="true" outlineLevel="0" collapsed="false">
      <c r="A31" s="3"/>
      <c r="B31" s="3"/>
      <c r="C31" s="3"/>
      <c r="D31" s="3"/>
      <c r="E31" s="3"/>
    </row>
    <row r="32" customFormat="false" ht="15" hidden="false" customHeight="true" outlineLevel="0" collapsed="false">
      <c r="A32" s="12" t="s">
        <v>263</v>
      </c>
      <c r="B32" s="12"/>
      <c r="C32" s="12"/>
      <c r="D32" s="12"/>
      <c r="E32" s="12"/>
    </row>
    <row r="33" customFormat="false" ht="15" hidden="false" customHeight="true" outlineLevel="0" collapsed="false">
      <c r="A33" s="3" t="s">
        <v>264</v>
      </c>
      <c r="B33" s="3" t="s">
        <v>250</v>
      </c>
      <c r="C33" s="3" t="s">
        <v>250</v>
      </c>
      <c r="D33" s="3" t="s">
        <v>250</v>
      </c>
      <c r="E33" s="3" t="s">
        <v>250</v>
      </c>
    </row>
    <row r="34" customFormat="false" ht="15" hidden="false" customHeight="true" outlineLevel="0" collapsed="false">
      <c r="A34" s="3" t="s">
        <v>265</v>
      </c>
      <c r="B34" s="3" t="s">
        <v>251</v>
      </c>
      <c r="C34" s="3" t="s">
        <v>250</v>
      </c>
      <c r="D34" s="3" t="s">
        <v>250</v>
      </c>
      <c r="E34" s="3" t="s">
        <v>250</v>
      </c>
    </row>
    <row r="35" customFormat="false" ht="15" hidden="false" customHeight="true" outlineLevel="0" collapsed="false">
      <c r="A35" s="3" t="s">
        <v>266</v>
      </c>
      <c r="B35" s="3" t="s">
        <v>267</v>
      </c>
      <c r="C35" s="3" t="s">
        <v>250</v>
      </c>
      <c r="D35" s="3" t="s">
        <v>268</v>
      </c>
      <c r="E35" s="3" t="s">
        <v>269</v>
      </c>
    </row>
    <row r="36" customFormat="false" ht="15" hidden="false" customHeight="true" outlineLevel="0" collapsed="false">
      <c r="A36" s="3" t="s">
        <v>270</v>
      </c>
      <c r="B36" s="3" t="s">
        <v>251</v>
      </c>
      <c r="C36" s="3" t="s">
        <v>251</v>
      </c>
      <c r="D36" s="3" t="s">
        <v>251</v>
      </c>
      <c r="E36" s="3" t="s">
        <v>271</v>
      </c>
    </row>
    <row r="37" customFormat="false" ht="15" hidden="false" customHeight="true" outlineLevel="0" collapsed="false">
      <c r="A37" s="3" t="s">
        <v>272</v>
      </c>
      <c r="B37" s="3" t="s">
        <v>273</v>
      </c>
      <c r="C37" s="3" t="s">
        <v>273</v>
      </c>
      <c r="D37" s="3" t="s">
        <v>274</v>
      </c>
      <c r="E37" s="3" t="s">
        <v>274</v>
      </c>
    </row>
    <row r="38" customFormat="false" ht="15" hidden="false" customHeight="true" outlineLevel="0" collapsed="false">
      <c r="A38" s="3" t="s">
        <v>275</v>
      </c>
      <c r="B38" s="3" t="s">
        <v>251</v>
      </c>
      <c r="C38" s="3" t="s">
        <v>251</v>
      </c>
      <c r="D38" s="3" t="s">
        <v>251</v>
      </c>
      <c r="E38" s="3" t="s">
        <v>250</v>
      </c>
    </row>
    <row r="39" customFormat="false" ht="15" hidden="false" customHeight="true" outlineLevel="0" collapsed="false">
      <c r="A39" s="3" t="s">
        <v>112</v>
      </c>
      <c r="B39" s="3" t="s">
        <v>251</v>
      </c>
      <c r="C39" s="3" t="s">
        <v>251</v>
      </c>
      <c r="D39" s="3" t="s">
        <v>251</v>
      </c>
      <c r="E39" s="3" t="s">
        <v>250</v>
      </c>
    </row>
    <row r="40" customFormat="false" ht="15" hidden="false" customHeight="true" outlineLevel="0" collapsed="false">
      <c r="A40" s="3" t="s">
        <v>276</v>
      </c>
      <c r="B40" s="3" t="s">
        <v>251</v>
      </c>
      <c r="C40" s="3" t="s">
        <v>251</v>
      </c>
      <c r="D40" s="3" t="s">
        <v>251</v>
      </c>
      <c r="E40" s="3" t="s">
        <v>250</v>
      </c>
    </row>
    <row r="41" customFormat="false" ht="15" hidden="false" customHeight="true" outlineLevel="0" collapsed="false">
      <c r="A41" s="3"/>
      <c r="B41" s="3"/>
      <c r="C41" s="3"/>
      <c r="D41" s="3"/>
      <c r="E41" s="3"/>
    </row>
    <row r="42" customFormat="false" ht="15" hidden="false" customHeight="true" outlineLevel="0" collapsed="false">
      <c r="A42" s="3" t="s">
        <v>277</v>
      </c>
      <c r="B42" s="3" t="s">
        <v>250</v>
      </c>
      <c r="C42" s="3" t="s">
        <v>250</v>
      </c>
      <c r="D42" s="3" t="s">
        <v>250</v>
      </c>
      <c r="E42" s="3" t="s">
        <v>250</v>
      </c>
    </row>
    <row r="43" customFormat="false" ht="15" hidden="false" customHeight="true" outlineLevel="0" collapsed="false">
      <c r="A43" s="3" t="s">
        <v>278</v>
      </c>
      <c r="B43" s="3" t="s">
        <v>251</v>
      </c>
      <c r="C43" s="3" t="s">
        <v>250</v>
      </c>
      <c r="D43" s="3" t="s">
        <v>250</v>
      </c>
      <c r="E43" s="3" t="s">
        <v>250</v>
      </c>
    </row>
    <row r="45" customFormat="false" ht="15" hidden="false" customHeight="true" outlineLevel="0" collapsed="false">
      <c r="A45" s="4" t="s">
        <v>279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4" min="3" style="1" width="20"/>
    <col collapsed="false" customWidth="true" hidden="false" outlineLevel="0" max="5" min="5" style="1" width="22"/>
    <col collapsed="false" customWidth="true" hidden="false" outlineLevel="0" max="6" min="6" style="1" width="24"/>
    <col collapsed="false" customWidth="true" hidden="false" outlineLevel="0" max="7" min="7" style="1" width="26"/>
  </cols>
  <sheetData>
    <row r="1" customFormat="false" ht="15" hidden="false" customHeight="true" outlineLevel="0" collapsed="false">
      <c r="A1" s="2" t="s">
        <v>280</v>
      </c>
      <c r="B1" s="2" t="s">
        <v>281</v>
      </c>
      <c r="C1" s="2" t="s">
        <v>57</v>
      </c>
      <c r="D1" s="2" t="s">
        <v>184</v>
      </c>
      <c r="E1" s="2" t="s">
        <v>187</v>
      </c>
      <c r="F1" s="2" t="s">
        <v>100</v>
      </c>
      <c r="G1" s="2" t="s">
        <v>282</v>
      </c>
    </row>
    <row r="2" customFormat="false" ht="15" hidden="false" customHeight="true" outlineLevel="0" collapsed="false">
      <c r="A2" s="3" t="s">
        <v>283</v>
      </c>
      <c r="B2" s="3" t="s">
        <v>284</v>
      </c>
      <c r="C2" s="3" t="s">
        <v>285</v>
      </c>
      <c r="D2" s="3" t="s">
        <v>238</v>
      </c>
      <c r="E2" s="3" t="s">
        <v>238</v>
      </c>
      <c r="F2" s="3" t="s">
        <v>238</v>
      </c>
      <c r="G2" s="3" t="s">
        <v>286</v>
      </c>
    </row>
    <row r="3" customFormat="false" ht="15" hidden="false" customHeight="true" outlineLevel="0" collapsed="false">
      <c r="A3" s="3" t="s">
        <v>287</v>
      </c>
      <c r="B3" s="3" t="s">
        <v>284</v>
      </c>
      <c r="C3" s="3" t="s">
        <v>285</v>
      </c>
      <c r="D3" s="3" t="s">
        <v>288</v>
      </c>
      <c r="E3" s="3" t="s">
        <v>233</v>
      </c>
      <c r="F3" s="3" t="s">
        <v>238</v>
      </c>
      <c r="G3" s="3" t="s">
        <v>289</v>
      </c>
    </row>
    <row r="4" customFormat="false" ht="15" hidden="false" customHeight="true" outlineLevel="0" collapsed="false">
      <c r="A4" s="3" t="s">
        <v>235</v>
      </c>
      <c r="B4" s="3" t="s">
        <v>290</v>
      </c>
      <c r="C4" s="3" t="s">
        <v>285</v>
      </c>
      <c r="D4" s="3" t="s">
        <v>291</v>
      </c>
      <c r="E4" s="3" t="s">
        <v>238</v>
      </c>
      <c r="F4" s="3" t="s">
        <v>239</v>
      </c>
      <c r="G4" s="3" t="s">
        <v>292</v>
      </c>
    </row>
    <row r="5" customFormat="false" ht="15" hidden="false" customHeight="true" outlineLevel="0" collapsed="false">
      <c r="A5" s="3" t="s">
        <v>240</v>
      </c>
      <c r="B5" s="3" t="s">
        <v>293</v>
      </c>
      <c r="C5" s="3" t="s">
        <v>213</v>
      </c>
      <c r="D5" s="3" t="s">
        <v>294</v>
      </c>
      <c r="E5" s="3" t="s">
        <v>295</v>
      </c>
      <c r="F5" s="3" t="s">
        <v>296</v>
      </c>
      <c r="G5" s="3" t="s">
        <v>297</v>
      </c>
    </row>
    <row r="6" customFormat="false" ht="15" hidden="false" customHeight="true" outlineLevel="0" collapsed="false">
      <c r="A6" s="3" t="s">
        <v>244</v>
      </c>
      <c r="B6" s="3" t="s">
        <v>284</v>
      </c>
      <c r="C6" s="3" t="s">
        <v>213</v>
      </c>
      <c r="D6" s="3" t="s">
        <v>76</v>
      </c>
      <c r="E6" s="3" t="s">
        <v>298</v>
      </c>
      <c r="F6" s="3" t="s">
        <v>299</v>
      </c>
      <c r="G6" s="3" t="s">
        <v>300</v>
      </c>
    </row>
    <row r="7" customFormat="false" ht="15" hidden="false" customHeight="true" outlineLevel="0" collapsed="false">
      <c r="A7" s="3" t="s">
        <v>301</v>
      </c>
      <c r="B7" s="3" t="s">
        <v>302</v>
      </c>
      <c r="C7" s="3" t="s">
        <v>303</v>
      </c>
      <c r="D7" s="3" t="s">
        <v>304</v>
      </c>
      <c r="E7" s="3" t="s">
        <v>304</v>
      </c>
      <c r="F7" s="3" t="s">
        <v>304</v>
      </c>
      <c r="G7" s="3" t="s">
        <v>213</v>
      </c>
    </row>
    <row r="8" customFormat="false" ht="15" hidden="false" customHeight="true" outlineLevel="0" collapsed="false">
      <c r="A8" s="3" t="s">
        <v>305</v>
      </c>
      <c r="B8" s="3" t="s">
        <v>306</v>
      </c>
      <c r="C8" s="3" t="s">
        <v>213</v>
      </c>
      <c r="D8" s="3" t="s">
        <v>306</v>
      </c>
      <c r="E8" s="3" t="s">
        <v>306</v>
      </c>
      <c r="F8" s="3" t="s">
        <v>271</v>
      </c>
      <c r="G8" s="3" t="s">
        <v>111</v>
      </c>
    </row>
    <row r="11" customFormat="false" ht="84.75" hidden="false" customHeight="true" outlineLevel="0" collapsed="false">
      <c r="A11" s="13" t="s">
        <v>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3" min="3" style="1" width="14"/>
    <col collapsed="false" customWidth="true" hidden="false" outlineLevel="0" max="6" min="4" style="1" width="13"/>
    <col collapsed="false" customWidth="true" hidden="false" outlineLevel="0" max="7" min="7" style="1" width="17"/>
    <col collapsed="false" customWidth="true" hidden="false" outlineLevel="0" max="8" min="8" style="1" width="18"/>
    <col collapsed="false" customWidth="true" hidden="false" outlineLevel="0" max="9" min="9" style="1" width="17"/>
    <col collapsed="false" customWidth="true" hidden="false" outlineLevel="0" max="10" min="10" style="1" width="18"/>
    <col collapsed="false" customWidth="true" hidden="false" outlineLevel="0" max="11" min="11" style="1" width="17"/>
    <col collapsed="false" customWidth="true" hidden="false" outlineLevel="0" max="12" min="12" style="1" width="18"/>
  </cols>
  <sheetData>
    <row r="1" customFormat="false" ht="23.25" hidden="false" customHeight="true" outlineLevel="0" collapsed="false">
      <c r="A1" s="2" t="s">
        <v>176</v>
      </c>
      <c r="B1" s="2" t="s">
        <v>308</v>
      </c>
      <c r="C1" s="2" t="s">
        <v>309</v>
      </c>
      <c r="D1" s="2" t="s">
        <v>310</v>
      </c>
      <c r="E1" s="2" t="s">
        <v>311</v>
      </c>
      <c r="F1" s="2" t="s">
        <v>312</v>
      </c>
      <c r="G1" s="2" t="s">
        <v>313</v>
      </c>
      <c r="H1" s="2" t="s">
        <v>314</v>
      </c>
      <c r="I1" s="2" t="s">
        <v>315</v>
      </c>
      <c r="J1" s="2" t="s">
        <v>316</v>
      </c>
      <c r="K1" s="2" t="s">
        <v>317</v>
      </c>
      <c r="L1" s="2" t="s">
        <v>318</v>
      </c>
    </row>
    <row r="11" customFormat="false" ht="23.25" hidden="false" customHeight="true" outlineLevel="0" collapsed="false">
      <c r="A11" s="3" t="s">
        <v>57</v>
      </c>
      <c r="B11" s="3" t="n">
        <v>0</v>
      </c>
      <c r="C11" s="3" t="s">
        <v>319</v>
      </c>
      <c r="D11" s="3" t="n">
        <v>1.5</v>
      </c>
      <c r="E11" s="3" t="n">
        <v>2</v>
      </c>
      <c r="F11" s="3" t="n">
        <v>0.5</v>
      </c>
      <c r="G11" s="3" t="n">
        <f aca="false">D11*'3 Pricing Model'!$B$7+F11*'3 Pricing Model'!$B$8+0+'3 Pricing Model'!$B$12</f>
        <v>245</v>
      </c>
      <c r="H11" s="3" t="str">
        <f aca="false">IF(B11=0,"n/a, this is the investment",(B11-G11)/B11)</f>
        <v>n/a, this is the investment</v>
      </c>
      <c r="I11" s="3" t="n">
        <f aca="false">E11*'3 Pricing Model'!$B$7+F11*'3 Pricing Model'!$B$8+0+'3 Pricing Model'!$B$12</f>
        <v>285</v>
      </c>
      <c r="J11" s="3" t="str">
        <f aca="false">IF(B11=0,"n/a",(B11-I11)/B11)</f>
        <v>n/a</v>
      </c>
      <c r="K11" s="3" t="n">
        <f aca="false">F11*'3 Pricing Model'!$B$8+0+'3 Pricing Model'!$B$12</f>
        <v>125</v>
      </c>
      <c r="L11" s="3" t="str">
        <f aca="false">IF(B11=0,"n/a",(B11-K11)/B11)</f>
        <v>n/a</v>
      </c>
    </row>
    <row r="12" customFormat="false" ht="15" hidden="false" customHeight="true" outlineLevel="0" collapsed="false">
      <c r="A12" s="3" t="s">
        <v>184</v>
      </c>
      <c r="B12" s="3" t="n">
        <v>290</v>
      </c>
      <c r="C12" s="3" t="n">
        <v>4</v>
      </c>
      <c r="D12" s="3" t="n">
        <v>2.3</v>
      </c>
      <c r="E12" s="3" t="n">
        <v>4</v>
      </c>
      <c r="F12" s="3" t="n">
        <v>0</v>
      </c>
      <c r="G12" s="3" t="n">
        <f aca="false">D12*'3 Pricing Model'!$B$7+F12*'3 Pricing Model'!$B$8+'3 Pricing Model'!$B$10+'3 Pricing Model'!$B$12</f>
        <v>254</v>
      </c>
      <c r="H12" s="3" t="n">
        <f aca="false">IF(B12=0,"n/a, this is the investment",(B12-G12)/B12)</f>
        <v>0.124137931034483</v>
      </c>
      <c r="I12" s="3" t="n">
        <f aca="false">E12*'3 Pricing Model'!$B$7+F12*'3 Pricing Model'!$B$8+'3 Pricing Model'!$B$10+'3 Pricing Model'!$B$12</f>
        <v>390</v>
      </c>
      <c r="J12" s="3" t="n">
        <f aca="false">IF(B12=0,"n/a",(B12-I12)/B12)</f>
        <v>-0.344827586206897</v>
      </c>
      <c r="K12" s="3" t="n">
        <f aca="false">F12*'3 Pricing Model'!$B$8+'3 Pricing Model'!$B$10+'3 Pricing Model'!$B$12</f>
        <v>70</v>
      </c>
      <c r="L12" s="3" t="n">
        <f aca="false">IF(B12=0,"n/a",(B12-K12)/B12)</f>
        <v>0.758620689655172</v>
      </c>
    </row>
    <row r="13" customFormat="false" ht="15" hidden="false" customHeight="true" outlineLevel="0" collapsed="false">
      <c r="A13" s="9" t="s">
        <v>187</v>
      </c>
      <c r="B13" s="9" t="n">
        <v>790</v>
      </c>
      <c r="C13" s="9" t="n">
        <v>6</v>
      </c>
      <c r="D13" s="9" t="n">
        <v>2.9</v>
      </c>
      <c r="E13" s="9" t="n">
        <v>6</v>
      </c>
      <c r="F13" s="9" t="n">
        <v>0.7</v>
      </c>
      <c r="G13" s="9" t="n">
        <f aca="false">D13*'3 Pricing Model'!$B$7+F13*'3 Pricing Model'!$B$8+'3 Pricing Model'!$B$10+'3 Pricing Model'!$B$12</f>
        <v>442</v>
      </c>
      <c r="H13" s="9" t="n">
        <f aca="false">IF(B13=0,"n/a, this is the investment",(B13-G13)/B13)</f>
        <v>0.440506329113924</v>
      </c>
      <c r="I13" s="9" t="n">
        <f aca="false">E13*'3 Pricing Model'!$B$7+F13*'3 Pricing Model'!$B$8+'3 Pricing Model'!$B$10+'3 Pricing Model'!$B$12</f>
        <v>690</v>
      </c>
      <c r="J13" s="9" t="n">
        <f aca="false">IF(B13=0,"n/a",(B13-I13)/B13)</f>
        <v>0.126582278481013</v>
      </c>
      <c r="K13" s="9" t="n">
        <f aca="false">F13*'3 Pricing Model'!$B$8+'3 Pricing Model'!$B$10+'3 Pricing Model'!$B$12</f>
        <v>210</v>
      </c>
      <c r="L13" s="9" t="n">
        <f aca="false">IF(B13=0,"n/a",(B13-K13)/B13)</f>
        <v>0.734177215189873</v>
      </c>
    </row>
    <row r="14" customFormat="false" ht="15" hidden="false" customHeight="true" outlineLevel="0" collapsed="false">
      <c r="A14" s="3" t="s">
        <v>100</v>
      </c>
      <c r="B14" s="3" t="n">
        <v>2950</v>
      </c>
      <c r="C14" s="3" t="n">
        <v>20</v>
      </c>
      <c r="D14" s="3" t="n">
        <v>6</v>
      </c>
      <c r="E14" s="3" t="n">
        <v>10</v>
      </c>
      <c r="F14" s="3" t="n">
        <v>1.5</v>
      </c>
      <c r="G14" s="3" t="n">
        <f aca="false">D14*'3 Pricing Model'!$B$7+F14*'3 Pricing Model'!$B$8+'3 Pricing Model'!$B$11+'3 Pricing Model'!$B$12+'3 Pricing Model'!$B$9</f>
        <v>1325</v>
      </c>
      <c r="H14" s="3" t="n">
        <f aca="false">IF(B14=0,"n/a, this is the investment",(B14-G14)/B14)</f>
        <v>0.550847457627119</v>
      </c>
      <c r="I14" s="3" t="n">
        <f aca="false">E14*'3 Pricing Model'!$B$7+F14*'3 Pricing Model'!$B$8+'3 Pricing Model'!$B$11+'3 Pricing Model'!$B$12+'3 Pricing Model'!$B$9</f>
        <v>1645</v>
      </c>
      <c r="J14" s="3" t="n">
        <f aca="false">IF(B14=0,"n/a",(B14-I14)/B14)</f>
        <v>0.442372881355932</v>
      </c>
      <c r="K14" s="3" t="n">
        <f aca="false">F14*'3 Pricing Model'!$B$8+'3 Pricing Model'!$B$11+'3 Pricing Model'!$B$12+'3 Pricing Model'!$B$9</f>
        <v>845</v>
      </c>
      <c r="L14" s="3" t="n">
        <f aca="false">IF(B14=0,"n/a",(B14-K14)/B14)</f>
        <v>0.713559322033898</v>
      </c>
    </row>
    <row r="16" customFormat="false" ht="189" hidden="false" customHeight="true" outlineLevel="0" collapsed="false">
      <c r="A16" s="13" t="s">
        <v>320</v>
      </c>
    </row>
    <row r="18" customFormat="false" ht="178.5" hidden="false" customHeight="true" outlineLevel="0" collapsed="false">
      <c r="A18" s="13" t="s">
        <v>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4"/>
    <col collapsed="false" customWidth="true" hidden="false" outlineLevel="0" max="4" min="3" style="1" width="18"/>
    <col collapsed="false" customWidth="true" hidden="false" outlineLevel="0" max="5" min="5" style="1" width="14"/>
    <col collapsed="false" customWidth="true" hidden="false" outlineLevel="0" max="6" min="6" style="1" width="18"/>
    <col collapsed="false" customWidth="true" hidden="false" outlineLevel="0" max="7" min="7" style="1" width="14"/>
    <col collapsed="false" customWidth="true" hidden="false" outlineLevel="0" max="8" min="8" style="1" width="12"/>
  </cols>
  <sheetData>
    <row r="1" customFormat="false" ht="23.25" hidden="false" customHeight="true" outlineLevel="0" collapsed="false">
      <c r="A1" s="2" t="s">
        <v>322</v>
      </c>
      <c r="B1" s="2" t="s">
        <v>323</v>
      </c>
      <c r="C1" s="2" t="s">
        <v>324</v>
      </c>
      <c r="D1" s="2" t="s">
        <v>325</v>
      </c>
      <c r="E1" s="2" t="s">
        <v>326</v>
      </c>
      <c r="F1" s="2" t="s">
        <v>327</v>
      </c>
      <c r="G1" s="2" t="s">
        <v>328</v>
      </c>
      <c r="H1" s="2" t="s">
        <v>329</v>
      </c>
    </row>
    <row r="2" customFormat="false" ht="23.25" hidden="false" customHeight="true" outlineLevel="0" collapsed="false">
      <c r="A2" s="3" t="s">
        <v>330</v>
      </c>
      <c r="B2" s="3" t="s">
        <v>331</v>
      </c>
      <c r="C2" s="3" t="n">
        <f aca="false">4*70+395</f>
        <v>675</v>
      </c>
      <c r="D2" s="3" t="n">
        <f aca="false">195</f>
        <v>195</v>
      </c>
      <c r="E2" s="3" t="n">
        <f aca="false">290</f>
        <v>290</v>
      </c>
      <c r="F2" s="3" t="n">
        <f aca="false">D2+E2</f>
        <v>485</v>
      </c>
      <c r="G2" s="3" t="n">
        <f aca="false">C2-F2</f>
        <v>190</v>
      </c>
      <c r="H2" s="3" t="n">
        <f aca="false">G2/C2</f>
        <v>0.281481481481482</v>
      </c>
    </row>
    <row r="3" customFormat="false" ht="23.25" hidden="false" customHeight="true" outlineLevel="0" collapsed="false">
      <c r="A3" s="3" t="s">
        <v>332</v>
      </c>
      <c r="B3" s="3" t="s">
        <v>333</v>
      </c>
      <c r="C3" s="3" t="n">
        <f aca="false">4*70+2*70+395+2500</f>
        <v>3315</v>
      </c>
      <c r="D3" s="3" t="n">
        <f aca="false">1450</f>
        <v>1450</v>
      </c>
      <c r="E3" s="3" t="n">
        <f aca="false">790</f>
        <v>790</v>
      </c>
      <c r="F3" s="3" t="n">
        <f aca="false">D3+E3</f>
        <v>2240</v>
      </c>
      <c r="G3" s="3" t="n">
        <f aca="false">C3-F3</f>
        <v>1075</v>
      </c>
      <c r="H3" s="3" t="n">
        <f aca="false">G3/C3</f>
        <v>0.324283559577677</v>
      </c>
    </row>
    <row r="4" customFormat="false" ht="23.25" hidden="false" customHeight="true" outlineLevel="0" collapsed="false">
      <c r="A4" s="3" t="s">
        <v>334</v>
      </c>
      <c r="B4" s="3" t="s">
        <v>335</v>
      </c>
      <c r="C4" s="3" t="n">
        <f aca="false">8*70+2*395+2*2500</f>
        <v>6350</v>
      </c>
      <c r="D4" s="3" t="n">
        <f aca="false">900</f>
        <v>900</v>
      </c>
      <c r="E4" s="3" t="n">
        <f aca="false">2950</f>
        <v>2950</v>
      </c>
      <c r="F4" s="3" t="n">
        <f aca="false">D4+E4</f>
        <v>3850</v>
      </c>
      <c r="G4" s="3" t="n">
        <f aca="false">C4-F4</f>
        <v>2500</v>
      </c>
      <c r="H4" s="3" t="n">
        <f aca="false">G4/C4</f>
        <v>0.393700787401575</v>
      </c>
    </row>
    <row r="5" customFormat="false" ht="15" hidden="false" customHeight="true" outlineLevel="0" collapsed="false">
      <c r="A5" s="3" t="s">
        <v>336</v>
      </c>
      <c r="B5" s="3" t="s">
        <v>337</v>
      </c>
      <c r="C5" s="3" t="n">
        <f aca="false">2*70+395</f>
        <v>535</v>
      </c>
      <c r="D5" s="3" t="n">
        <f aca="false">0</f>
        <v>0</v>
      </c>
      <c r="E5" s="3" t="n">
        <f aca="false">0</f>
        <v>0</v>
      </c>
      <c r="F5" s="3" t="n">
        <f aca="false">D5+E5</f>
        <v>0</v>
      </c>
      <c r="G5" s="3" t="n">
        <f aca="false">C5-F5</f>
        <v>535</v>
      </c>
      <c r="H5" s="3" t="n">
        <f aca="false">G5/C5</f>
        <v>1</v>
      </c>
    </row>
    <row r="6" customFormat="false" ht="23.25" hidden="false" customHeight="true" outlineLevel="0" collapsed="false">
      <c r="A6" s="3" t="s">
        <v>338</v>
      </c>
      <c r="B6" s="3" t="s">
        <v>339</v>
      </c>
      <c r="C6" s="3" t="n">
        <f aca="false">4*70+395+70</f>
        <v>745</v>
      </c>
      <c r="D6" s="3" t="n">
        <f aca="false">195+45</f>
        <v>240</v>
      </c>
      <c r="E6" s="3" t="n">
        <f aca="false">290</f>
        <v>290</v>
      </c>
      <c r="F6" s="3" t="n">
        <f aca="false">D6+E6</f>
        <v>530</v>
      </c>
      <c r="G6" s="3" t="n">
        <f aca="false">C6-F6</f>
        <v>215</v>
      </c>
      <c r="H6" s="3" t="n">
        <f aca="false">G6/C6</f>
        <v>0.288590604026846</v>
      </c>
    </row>
    <row r="8" customFormat="false" ht="126.75" hidden="false" customHeight="true" outlineLevel="0" collapsed="false">
      <c r="A8" s="13" t="s">
        <v>340</v>
      </c>
    </row>
    <row r="10" customFormat="false" ht="63.75" hidden="false" customHeight="true" outlineLevel="0" collapsed="false">
      <c r="A10" s="13" t="s">
        <v>341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8"/>
    <col collapsed="false" customWidth="true" hidden="false" outlineLevel="0" max="3" min="3" style="0" width="66"/>
  </cols>
  <sheetData>
    <row r="1" customFormat="false" ht="15" hidden="false" customHeight="false" outlineLevel="0" collapsed="false">
      <c r="A1" s="2" t="s">
        <v>342</v>
      </c>
      <c r="B1" s="2" t="s">
        <v>343</v>
      </c>
      <c r="C1" s="2" t="s">
        <v>344</v>
      </c>
    </row>
    <row r="2" customFormat="false" ht="23.85" hidden="false" customHeight="false" outlineLevel="0" collapsed="false">
      <c r="A2" s="3" t="s">
        <v>345</v>
      </c>
      <c r="B2" s="8" t="n">
        <v>90</v>
      </c>
      <c r="C2" s="3" t="s">
        <v>346</v>
      </c>
    </row>
    <row r="3" customFormat="false" ht="15" hidden="false" customHeight="false" outlineLevel="0" collapsed="false">
      <c r="A3" s="3" t="s">
        <v>347</v>
      </c>
      <c r="B3" s="8" t="n">
        <v>45</v>
      </c>
      <c r="C3" s="3" t="s">
        <v>348</v>
      </c>
    </row>
    <row r="4" customFormat="false" ht="15" hidden="false" customHeight="false" outlineLevel="0" collapsed="false">
      <c r="A4" s="3" t="s">
        <v>349</v>
      </c>
      <c r="B4" s="8" t="n">
        <v>30</v>
      </c>
      <c r="C4" s="3" t="s">
        <v>350</v>
      </c>
    </row>
    <row r="5" customFormat="false" ht="15" hidden="false" customHeight="false" outlineLevel="0" collapsed="false">
      <c r="A5" s="3" t="s">
        <v>351</v>
      </c>
      <c r="B5" s="8" t="n">
        <v>8</v>
      </c>
      <c r="C5" s="3" t="s">
        <v>352</v>
      </c>
    </row>
    <row r="6" customFormat="false" ht="15" hidden="false" customHeight="false" outlineLevel="0" collapsed="false">
      <c r="A6" s="3" t="s">
        <v>353</v>
      </c>
      <c r="B6" s="3" t="n">
        <f aca="false">SUM(B3:B5)</f>
        <v>83</v>
      </c>
      <c r="C6" s="3" t="s">
        <v>354</v>
      </c>
    </row>
    <row r="7" customFormat="false" ht="15" hidden="false" customHeight="false" outlineLevel="0" collapsed="false">
      <c r="A7" s="3" t="s">
        <v>355</v>
      </c>
      <c r="B7" s="3" t="n">
        <f aca="false">B3*290+B4*790+B5*2950</f>
        <v>60350</v>
      </c>
      <c r="C7" s="3" t="s">
        <v>356</v>
      </c>
    </row>
    <row r="8" customFormat="false" ht="15" hidden="false" customHeight="false" outlineLevel="0" collapsed="false">
      <c r="A8" s="3" t="s">
        <v>357</v>
      </c>
      <c r="B8" s="8" t="n">
        <v>12</v>
      </c>
      <c r="C8" s="3" t="s">
        <v>358</v>
      </c>
    </row>
    <row r="9" customFormat="false" ht="15" hidden="false" customHeight="false" outlineLevel="0" collapsed="false">
      <c r="A9" s="3" t="s">
        <v>359</v>
      </c>
      <c r="B9" s="8" t="n">
        <v>40</v>
      </c>
      <c r="C9" s="3"/>
    </row>
    <row r="10" customFormat="false" ht="15" hidden="false" customHeight="false" outlineLevel="0" collapsed="false">
      <c r="A10" s="3" t="s">
        <v>360</v>
      </c>
      <c r="B10" s="3" t="n">
        <f aca="false">B8*B9</f>
        <v>480</v>
      </c>
      <c r="C10" s="3" t="s">
        <v>172</v>
      </c>
    </row>
    <row r="11" customFormat="false" ht="15" hidden="false" customHeight="false" outlineLevel="0" collapsed="false">
      <c r="A11" s="3" t="s">
        <v>361</v>
      </c>
      <c r="B11" s="3" t="n">
        <f aca="false">B10*'3 Pricing Model'!$B$7</f>
        <v>38400</v>
      </c>
      <c r="C11" s="3" t="s">
        <v>172</v>
      </c>
    </row>
    <row r="12" customFormat="false" ht="23.85" hidden="false" customHeight="false" outlineLevel="0" collapsed="false">
      <c r="A12" s="3" t="s">
        <v>362</v>
      </c>
      <c r="B12" s="3" t="n">
        <f aca="false">B11/B8</f>
        <v>3200</v>
      </c>
      <c r="C12" s="3" t="s">
        <v>363</v>
      </c>
    </row>
    <row r="13" customFormat="false" ht="15" hidden="false" customHeight="false" outlineLevel="0" collapsed="false">
      <c r="A13" s="3" t="s">
        <v>364</v>
      </c>
      <c r="B13" s="8" t="n">
        <v>180</v>
      </c>
      <c r="C13" s="3" t="s">
        <v>365</v>
      </c>
    </row>
    <row r="14" customFormat="false" ht="15" hidden="false" customHeight="false" outlineLevel="0" collapsed="false">
      <c r="A14" s="3" t="s">
        <v>366</v>
      </c>
      <c r="B14" s="3" t="n">
        <f aca="false">B13*'3 Pricing Model'!$B$8</f>
        <v>36000</v>
      </c>
      <c r="C14" s="3" t="s">
        <v>172</v>
      </c>
    </row>
    <row r="15" customFormat="false" ht="15" hidden="false" customHeight="false" outlineLevel="0" collapsed="false">
      <c r="A15" s="3" t="s">
        <v>367</v>
      </c>
      <c r="B15" s="8" t="n">
        <v>35000</v>
      </c>
      <c r="C15" s="3" t="s">
        <v>368</v>
      </c>
    </row>
    <row r="16" customFormat="false" ht="15" hidden="false" customHeight="false" outlineLevel="0" collapsed="false">
      <c r="A16" s="3" t="s">
        <v>369</v>
      </c>
      <c r="B16" s="3" t="n">
        <f aca="false">B7-(B3+B4)*'3 Pricing Model'!$B$10-B5*'3 Pricing Model'!$B$11-B6*'3 Pricing Model'!$B$12</f>
        <v>53940</v>
      </c>
      <c r="C16" s="3" t="s">
        <v>172</v>
      </c>
    </row>
    <row r="17" customFormat="false" ht="15" hidden="false" customHeight="false" outlineLevel="0" collapsed="false">
      <c r="A17" s="9" t="s">
        <v>370</v>
      </c>
      <c r="B17" s="9" t="n">
        <f aca="false">B15+B16-B11-B14</f>
        <v>14540</v>
      </c>
      <c r="C17" s="9" t="s">
        <v>371</v>
      </c>
    </row>
    <row r="18" customFormat="false" ht="15" hidden="false" customHeight="false" outlineLevel="0" collapsed="false">
      <c r="A18" s="3" t="s">
        <v>372</v>
      </c>
      <c r="B18" s="8" t="n">
        <v>60000</v>
      </c>
      <c r="C18" s="3" t="s">
        <v>373</v>
      </c>
    </row>
    <row r="19" customFormat="false" ht="15" hidden="false" customHeight="false" outlineLevel="0" collapsed="false">
      <c r="A19" s="9" t="s">
        <v>374</v>
      </c>
      <c r="B19" s="9" t="n">
        <f aca="false">B17+B18</f>
        <v>74540</v>
      </c>
      <c r="C19" s="9" t="s">
        <v>375</v>
      </c>
    </row>
    <row r="21" customFormat="false" ht="74.6" hidden="false" customHeight="false" outlineLevel="0" collapsed="false">
      <c r="A21" s="13" t="s">
        <v>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5" min="2" style="1" width="18"/>
    <col collapsed="false" customWidth="true" hidden="false" outlineLevel="0" max="6" min="6" style="1" width="58"/>
    <col collapsed="false" customWidth="true" hidden="false" outlineLevel="0" max="7" min="7" style="1" width="44"/>
  </cols>
  <sheetData>
    <row r="1" customFormat="false" ht="15" hidden="false" customHeight="true" outlineLevel="0" collapsed="false">
      <c r="A1" s="2" t="s">
        <v>377</v>
      </c>
      <c r="B1" s="2" t="s">
        <v>378</v>
      </c>
      <c r="C1" s="2" t="s">
        <v>379</v>
      </c>
      <c r="D1" s="2" t="s">
        <v>380</v>
      </c>
      <c r="E1" s="2" t="s">
        <v>190</v>
      </c>
      <c r="F1" s="2" t="s">
        <v>381</v>
      </c>
      <c r="G1" s="2" t="s">
        <v>382</v>
      </c>
    </row>
    <row r="2" customFormat="false" ht="57" hidden="false" customHeight="true" outlineLevel="0" collapsed="false">
      <c r="A2" s="9" t="s">
        <v>383</v>
      </c>
      <c r="B2" s="9" t="s">
        <v>57</v>
      </c>
      <c r="C2" s="9" t="s">
        <v>184</v>
      </c>
      <c r="D2" s="9" t="s">
        <v>187</v>
      </c>
      <c r="E2" s="9" t="s">
        <v>100</v>
      </c>
      <c r="F2" s="9" t="s">
        <v>384</v>
      </c>
      <c r="G2" s="9" t="s">
        <v>385</v>
      </c>
    </row>
    <row r="3" customFormat="false" ht="45.75" hidden="false" customHeight="true" outlineLevel="0" collapsed="false">
      <c r="A3" s="3" t="s">
        <v>386</v>
      </c>
      <c r="B3" s="3" t="s">
        <v>57</v>
      </c>
      <c r="C3" s="3" t="s">
        <v>387</v>
      </c>
      <c r="D3" s="3" t="s">
        <v>388</v>
      </c>
      <c r="E3" s="3" t="s">
        <v>389</v>
      </c>
      <c r="F3" s="3" t="s">
        <v>390</v>
      </c>
      <c r="G3" s="3" t="s">
        <v>391</v>
      </c>
    </row>
    <row r="4" customFormat="false" ht="23.25" hidden="false" customHeight="true" outlineLevel="0" collapsed="false">
      <c r="A4" s="3" t="s">
        <v>392</v>
      </c>
      <c r="B4" s="3" t="s">
        <v>57</v>
      </c>
      <c r="C4" s="3" t="s">
        <v>393</v>
      </c>
      <c r="D4" s="3" t="s">
        <v>394</v>
      </c>
      <c r="E4" s="3" t="s">
        <v>395</v>
      </c>
      <c r="F4" s="3" t="s">
        <v>396</v>
      </c>
      <c r="G4" s="3" t="s">
        <v>397</v>
      </c>
    </row>
    <row r="6" customFormat="false" ht="116.25" hidden="false" customHeight="true" outlineLevel="0" collapsed="false">
      <c r="A6" s="13" t="s">
        <v>398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30"/>
    <col collapsed="false" customWidth="true" hidden="false" outlineLevel="0" max="3" min="3" style="1" width="86"/>
  </cols>
  <sheetData>
    <row r="1" customFormat="false" ht="15" hidden="false" customHeight="true" outlineLevel="0" collapsed="false">
      <c r="A1" s="2" t="s">
        <v>280</v>
      </c>
      <c r="B1" s="2" t="s">
        <v>399</v>
      </c>
      <c r="C1" s="2" t="s">
        <v>400</v>
      </c>
    </row>
    <row r="2" customFormat="false" ht="23.25" hidden="false" customHeight="true" outlineLevel="0" collapsed="false">
      <c r="A2" s="3" t="s">
        <v>401</v>
      </c>
      <c r="B2" s="3" t="s">
        <v>402</v>
      </c>
      <c r="C2" s="3" t="s">
        <v>403</v>
      </c>
    </row>
    <row r="3" customFormat="false" ht="15" hidden="false" customHeight="true" outlineLevel="0" collapsed="false">
      <c r="A3" s="3" t="s">
        <v>404</v>
      </c>
      <c r="B3" s="3" t="s">
        <v>405</v>
      </c>
      <c r="C3" s="3" t="s">
        <v>406</v>
      </c>
    </row>
    <row r="4" customFormat="false" ht="15" hidden="false" customHeight="true" outlineLevel="0" collapsed="false">
      <c r="A4" s="3" t="s">
        <v>407</v>
      </c>
      <c r="B4" s="3" t="s">
        <v>408</v>
      </c>
      <c r="C4" s="3" t="s">
        <v>409</v>
      </c>
    </row>
    <row r="5" customFormat="false" ht="15" hidden="false" customHeight="true" outlineLevel="0" collapsed="false">
      <c r="A5" s="3" t="s">
        <v>410</v>
      </c>
      <c r="B5" s="3" t="s">
        <v>408</v>
      </c>
      <c r="C5" s="3" t="s">
        <v>411</v>
      </c>
    </row>
    <row r="6" customFormat="false" ht="15" hidden="false" customHeight="true" outlineLevel="0" collapsed="false">
      <c r="A6" s="3" t="s">
        <v>412</v>
      </c>
      <c r="B6" s="3" t="s">
        <v>413</v>
      </c>
      <c r="C6" s="3" t="s">
        <v>414</v>
      </c>
    </row>
    <row r="7" customFormat="false" ht="34.5" hidden="false" customHeight="true" outlineLevel="0" collapsed="false">
      <c r="A7" s="3" t="s">
        <v>415</v>
      </c>
      <c r="B7" s="3" t="s">
        <v>416</v>
      </c>
      <c r="C7" s="3" t="s">
        <v>417</v>
      </c>
    </row>
    <row r="8" customFormat="false" ht="15" hidden="false" customHeight="true" outlineLevel="0" collapsed="false">
      <c r="A8" s="3" t="s">
        <v>418</v>
      </c>
      <c r="B8" s="3" t="s">
        <v>419</v>
      </c>
      <c r="C8" s="3" t="s">
        <v>420</v>
      </c>
    </row>
    <row r="9" customFormat="false" ht="23.25" hidden="false" customHeight="true" outlineLevel="0" collapsed="false">
      <c r="A9" s="3" t="s">
        <v>421</v>
      </c>
      <c r="B9" s="3" t="s">
        <v>422</v>
      </c>
      <c r="C9" s="3" t="s">
        <v>423</v>
      </c>
    </row>
    <row r="10" customFormat="false" ht="15" hidden="false" customHeight="true" outlineLevel="0" collapsed="false">
      <c r="A10" s="3"/>
      <c r="B10" s="3"/>
      <c r="C10" s="3"/>
    </row>
    <row r="11" customFormat="false" ht="34.5" hidden="false" customHeight="true" outlineLevel="0" collapsed="false">
      <c r="A11" s="3" t="s">
        <v>424</v>
      </c>
      <c r="B11" s="3" t="s">
        <v>425</v>
      </c>
      <c r="C11" s="3" t="s">
        <v>426</v>
      </c>
    </row>
    <row r="12" customFormat="false" ht="34.5" hidden="false" customHeight="true" outlineLevel="0" collapsed="false">
      <c r="A12" s="3" t="s">
        <v>427</v>
      </c>
      <c r="B12" s="3" t="s">
        <v>428</v>
      </c>
      <c r="C12" s="3" t="s">
        <v>429</v>
      </c>
    </row>
    <row r="13" customFormat="false" ht="34.5" hidden="false" customHeight="true" outlineLevel="0" collapsed="false">
      <c r="A13" s="3" t="s">
        <v>430</v>
      </c>
      <c r="B13" s="3" t="s">
        <v>431</v>
      </c>
      <c r="C13" s="3" t="s">
        <v>432</v>
      </c>
    </row>
    <row r="14" customFormat="false" ht="23.25" hidden="false" customHeight="true" outlineLevel="0" collapsed="false">
      <c r="A14" s="3" t="s">
        <v>433</v>
      </c>
      <c r="B14" s="3" t="s">
        <v>434</v>
      </c>
      <c r="C14" s="3" t="s">
        <v>435</v>
      </c>
    </row>
    <row r="15" customFormat="false" ht="23.25" hidden="false" customHeight="true" outlineLevel="0" collapsed="false">
      <c r="A15" s="3" t="s">
        <v>436</v>
      </c>
      <c r="B15" s="3" t="s">
        <v>437</v>
      </c>
      <c r="C15" s="3" t="s">
        <v>438</v>
      </c>
    </row>
    <row r="16" customFormat="false" ht="23.25" hidden="false" customHeight="true" outlineLevel="0" collapsed="false">
      <c r="A16" s="3" t="s">
        <v>439</v>
      </c>
      <c r="B16" s="3" t="s">
        <v>440</v>
      </c>
      <c r="C16" s="3" t="s">
        <v>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58"/>
  </cols>
  <sheetData>
    <row r="1" customFormat="false" ht="15" hidden="false" customHeight="true" outlineLevel="0" collapsed="false">
      <c r="A1" s="2" t="s">
        <v>442</v>
      </c>
      <c r="B1" s="2" t="s">
        <v>443</v>
      </c>
      <c r="C1" s="2" t="s">
        <v>444</v>
      </c>
    </row>
    <row r="2" customFormat="false" ht="23.25" hidden="false" customHeight="true" outlineLevel="0" collapsed="false">
      <c r="A2" s="3" t="s">
        <v>445</v>
      </c>
      <c r="B2" s="3" t="s">
        <v>446</v>
      </c>
      <c r="C2" s="3" t="s">
        <v>447</v>
      </c>
    </row>
    <row r="3" customFormat="false" ht="45.75" hidden="false" customHeight="true" outlineLevel="0" collapsed="false">
      <c r="A3" s="3" t="s">
        <v>448</v>
      </c>
      <c r="B3" s="3" t="s">
        <v>449</v>
      </c>
      <c r="C3" s="3" t="s">
        <v>450</v>
      </c>
    </row>
    <row r="4" customFormat="false" ht="34.5" hidden="false" customHeight="true" outlineLevel="0" collapsed="false">
      <c r="A4" s="3" t="s">
        <v>451</v>
      </c>
      <c r="B4" s="3" t="s">
        <v>452</v>
      </c>
      <c r="C4" s="3" t="s">
        <v>453</v>
      </c>
    </row>
    <row r="5" customFormat="false" ht="34.5" hidden="false" customHeight="true" outlineLevel="0" collapsed="false">
      <c r="A5" s="3" t="s">
        <v>454</v>
      </c>
      <c r="B5" s="3" t="s">
        <v>455</v>
      </c>
      <c r="C5" s="3" t="s">
        <v>456</v>
      </c>
    </row>
    <row r="6" customFormat="false" ht="23.25" hidden="false" customHeight="true" outlineLevel="0" collapsed="false">
      <c r="A6" s="3" t="s">
        <v>457</v>
      </c>
      <c r="B6" s="3" t="s">
        <v>458</v>
      </c>
      <c r="C6" s="3" t="s">
        <v>459</v>
      </c>
    </row>
    <row r="7" customFormat="false" ht="23.25" hidden="false" customHeight="true" outlineLevel="0" collapsed="false">
      <c r="A7" s="3" t="s">
        <v>460</v>
      </c>
      <c r="B7" s="3" t="s">
        <v>461</v>
      </c>
      <c r="C7" s="3" t="s">
        <v>462</v>
      </c>
    </row>
    <row r="8" customFormat="false" ht="23.25" hidden="false" customHeight="true" outlineLevel="0" collapsed="false">
      <c r="A8" s="3" t="s">
        <v>463</v>
      </c>
      <c r="B8" s="3" t="s">
        <v>464</v>
      </c>
      <c r="C8" s="3" t="s">
        <v>465</v>
      </c>
    </row>
    <row r="9" customFormat="false" ht="23.25" hidden="false" customHeight="true" outlineLevel="0" collapsed="false">
      <c r="A9" s="3" t="s">
        <v>466</v>
      </c>
      <c r="B9" s="3" t="s">
        <v>467</v>
      </c>
      <c r="C9" s="3" t="s">
        <v>468</v>
      </c>
    </row>
    <row r="10" customFormat="false" ht="23.25" hidden="false" customHeight="true" outlineLevel="0" collapsed="false">
      <c r="A10" s="3" t="s">
        <v>469</v>
      </c>
      <c r="B10" s="3" t="s">
        <v>470</v>
      </c>
      <c r="C10" s="3" t="s">
        <v>471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2026-07-23T17:20:05Z</dcterms:created>
  <dc:creator>openpyxl</dc:creator>
  <dc:description/>
  <dc:language>en-US</dc:language>
  <cp:lastModifiedBy/>
  <dcterms:modified xsi:type="dcterms:W3CDTF">2026-07-23T17:24:46Z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